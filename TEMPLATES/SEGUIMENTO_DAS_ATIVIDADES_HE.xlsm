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grouperenault-my.sharepoint.com/personal/gabriel_pereira-extern_renault_com/Documents/Área de Trabalho/Projeto HE para o GitHub/Nova pasta/Templates/"/>
    </mc:Choice>
  </mc:AlternateContent>
  <xr:revisionPtr revIDLastSave="12669" documentId="13_ncr:1_{3E5CAEC4-9B99-46D7-89AB-439A06CB559F}" xr6:coauthVersionLast="47" xr6:coauthVersionMax="47" xr10:uidLastSave="{DF64EE42-273C-4919-AF5E-FBFC7FE101A1}"/>
  <bookViews>
    <workbookView xWindow="-120" yWindow="-120" windowWidth="24240" windowHeight="13020" tabRatio="916" firstSheet="1" activeTab="8" xr2:uid="{00000000-000D-0000-FFFF-FFFF00000000}"/>
  </bookViews>
  <sheets>
    <sheet name="DIAS SELECT" sheetId="24" state="hidden" r:id="rId1"/>
    <sheet name="DIA_SEMANA" sheetId="18" r:id="rId2"/>
    <sheet name="COLABORADORES" sheetId="35" r:id="rId3"/>
    <sheet name="SOLICITAÇÕES" sheetId="36" r:id="rId4"/>
    <sheet name="HORA EXTRA" sheetId="17" r:id="rId5"/>
    <sheet name="Centros de Custo" sheetId="31" r:id="rId6"/>
    <sheet name="Resumo Centro de Custo" sheetId="39" r:id="rId7"/>
    <sheet name="Resumo GATM" sheetId="40" r:id="rId8"/>
    <sheet name="FORMATAÇÃO ORIGINAL" sheetId="33" r:id="rId9"/>
  </sheets>
  <functionGroups builtInGroupCount="19"/>
  <definedNames>
    <definedName name="_xlnm._FilterDatabase" localSheetId="4" hidden="1">'HORA EXTRA'!$A$1:$AE$1</definedName>
    <definedName name="_xleta.AND" hidden="1" xlm="1">#NAME?</definedName>
    <definedName name="_xleta.IF" hidden="1" xlm="1">#NAME?</definedName>
    <definedName name="_xleta.TODAY" hidden="1" xlm="1">#NAME?</definedName>
    <definedName name="_xleta.WEEKDAY" hidden="1" xlm="1">#NAME?</definedName>
    <definedName name="_xleta.YEAR" hidden="1" xlm="1">#NAME?</definedName>
    <definedName name="DadosExternos_1" localSheetId="0" hidden="1">'DIAS SELECT'!$A$1:$D$9</definedName>
    <definedName name="DadosExternos_2" localSheetId="2" hidden="1">'COLABORADORES'!$A$1:$E$13</definedName>
    <definedName name="DadosExternos_3" localSheetId="3" hidden="1">SOLICITAÇÕES!$A$1:$R$7</definedName>
    <definedName name="SegmentaçãodeDados_CC">#N/A</definedName>
    <definedName name="SegmentaçãodeDados_CC1">#N/A</definedName>
    <definedName name="SegmentaçãodeDados_DATA">#N/A</definedName>
    <definedName name="SegmentaçãodeDados_DIA_DA_SEMANA">#N/A</definedName>
    <definedName name="SegmentaçãodeDados_GATM">#N/A</definedName>
    <definedName name="SegmentaçãodeDados_GATM1">#N/A</definedName>
  </definedNames>
  <calcPr calcId="191028"/>
  <pivotCaches>
    <pivotCache cacheId="0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" i="17" l="1"/>
  <c r="W6" i="17"/>
  <c r="W5" i="17"/>
  <c r="W3" i="17"/>
  <c r="C2" i="18"/>
  <c r="G4" i="35"/>
  <c r="G5" i="35"/>
  <c r="G6" i="35"/>
  <c r="G7" i="35"/>
  <c r="G8" i="35"/>
  <c r="G2" i="35"/>
  <c r="G3" i="35"/>
  <c r="F8" i="35"/>
  <c r="F7" i="35"/>
  <c r="F6" i="35"/>
  <c r="F5" i="35"/>
  <c r="F4" i="35"/>
  <c r="F3" i="35"/>
  <c r="F2" i="35"/>
  <c r="W7" i="33" l="1"/>
  <c r="W6" i="33"/>
  <c r="W5" i="33"/>
  <c r="W3" i="33"/>
  <c r="D2" i="18" l="1"/>
  <c r="C5" i="18" s="1"/>
  <c r="C6" i="18" l="1"/>
  <c r="D5" i="18"/>
  <c r="A5" i="18"/>
  <c r="D6" i="18" l="1"/>
  <c r="A6" i="18"/>
  <c r="C7" i="18"/>
  <c r="C8" i="18" l="1"/>
  <c r="A7" i="18"/>
  <c r="D7" i="18"/>
  <c r="D8" i="18" l="1"/>
  <c r="A8" i="18"/>
  <c r="C9" i="18"/>
  <c r="C10" i="18" l="1"/>
  <c r="A9" i="18"/>
  <c r="D9" i="18"/>
  <c r="D10" i="18" l="1"/>
  <c r="A10" i="18"/>
  <c r="C11" i="18"/>
  <c r="C12" i="18" l="1"/>
  <c r="A11" i="18"/>
  <c r="D11" i="18"/>
  <c r="D12" i="18" l="1"/>
  <c r="A12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18498-7272-4DED-B980-7161B9BCA3C4}" keepAlive="1" name="Consulta - COLABORADORES" description="Conexão com a consulta 'COLABORADORES' na pasta de trabalho." type="5" refreshedVersion="8" background="1" saveData="1">
    <dbPr connection="Provider=Microsoft.Mashup.OleDb.1;Data Source=$Workbook$;Location=COLABORADORES;Extended Properties=&quot;&quot;" command="SELECT * FROM [COLABORADORES]"/>
  </connection>
  <connection id="2" xr16:uid="{5316528B-5D20-432C-B667-A289C58AB74B}" keepAlive="1" name="Consulta - DIAS SELECT" description="Conexão com a consulta 'DIAS SELECT' na pasta de trabalho." type="5" refreshedVersion="8" background="1" saveData="1">
    <dbPr connection="Provider=Microsoft.Mashup.OleDb.1;Data Source=$Workbook$;Location=&quot;DIAS SELECT&quot;;Extended Properties=&quot;&quot;" command="SELECT * FROM [DIAS SELECT]"/>
  </connection>
  <connection id="3" xr16:uid="{9472D377-955F-4FD0-B886-B04F36D5F4F1}" keepAlive="1" name="Consulta - Solicitações" description="Conexão com a consulta 'Solicitações' na pasta de trabalho." type="5" refreshedVersion="8" background="1" saveData="1">
    <dbPr connection="Provider=Microsoft.Mashup.OleDb.1;Data Source=$Workbook$;Location=Solicitações;Extended Properties=&quot;&quot;" command="SELECT * FROM [Solicitações]"/>
  </connection>
</connections>
</file>

<file path=xl/sharedStrings.xml><?xml version="1.0" encoding="utf-8"?>
<sst xmlns="http://schemas.openxmlformats.org/spreadsheetml/2006/main" count="447" uniqueCount="180">
  <si>
    <t>GATM</t>
  </si>
  <si>
    <t>AREA</t>
  </si>
  <si>
    <t>TRABALHO</t>
  </si>
  <si>
    <t>DESCR.</t>
  </si>
  <si>
    <t>IMPACTO</t>
  </si>
  <si>
    <t>GANHO</t>
  </si>
  <si>
    <t>HORAS</t>
  </si>
  <si>
    <t>ORIGEM</t>
  </si>
  <si>
    <t>DATA</t>
  </si>
  <si>
    <t>DIA DA SEMANA</t>
  </si>
  <si>
    <t>MOD Q</t>
  </si>
  <si>
    <t>MOS Q</t>
  </si>
  <si>
    <t>TOT Q</t>
  </si>
  <si>
    <t>MOD H</t>
  </si>
  <si>
    <t>MOS H</t>
  </si>
  <si>
    <t>TOT HORAS</t>
  </si>
  <si>
    <t>OBSERVAÇÕES</t>
  </si>
  <si>
    <t>CRITICIDADE</t>
  </si>
  <si>
    <t>ID TRABALHO</t>
  </si>
  <si>
    <t>STATUS</t>
  </si>
  <si>
    <t>IPN</t>
  </si>
  <si>
    <t>TURNO</t>
  </si>
  <si>
    <t>BPU</t>
  </si>
  <si>
    <t>SEM</t>
  </si>
  <si>
    <t>DS</t>
  </si>
  <si>
    <t>NDIA</t>
  </si>
  <si>
    <t>Ter</t>
  </si>
  <si>
    <t>Qua</t>
  </si>
  <si>
    <t>Qui</t>
  </si>
  <si>
    <t>Sex</t>
  </si>
  <si>
    <t>Sáb</t>
  </si>
  <si>
    <t>Dom</t>
  </si>
  <si>
    <t>Seg</t>
  </si>
  <si>
    <t>Hoje</t>
  </si>
  <si>
    <t>4 - Dom</t>
  </si>
  <si>
    <t>5 - Seg</t>
  </si>
  <si>
    <t>6 - Ter</t>
  </si>
  <si>
    <t>7 - Qua</t>
  </si>
  <si>
    <t>1 - Qui</t>
  </si>
  <si>
    <t>2 - Sex</t>
  </si>
  <si>
    <t>3 - Sáb</t>
  </si>
  <si>
    <t>COLABORADOR</t>
  </si>
  <si>
    <t>FUNÇÃO</t>
  </si>
  <si>
    <t>MOD/MOS</t>
  </si>
  <si>
    <t>SUPERVISOR</t>
  </si>
  <si>
    <t>SUPERVISORES DE CADA TURN</t>
  </si>
  <si>
    <t>Função</t>
  </si>
  <si>
    <t>Mod/Mos</t>
  </si>
  <si>
    <t>T02</t>
  </si>
  <si>
    <t>TEC. II</t>
  </si>
  <si>
    <t>CONF</t>
  </si>
  <si>
    <t>OP.</t>
  </si>
  <si>
    <t>MOD</t>
  </si>
  <si>
    <t>GATM PL</t>
  </si>
  <si>
    <t>TEC. I</t>
  </si>
  <si>
    <t>TEC. III</t>
  </si>
  <si>
    <t>T03</t>
  </si>
  <si>
    <t>MOS</t>
  </si>
  <si>
    <t>T01</t>
  </si>
  <si>
    <t>TRANSV</t>
  </si>
  <si>
    <t>OFI</t>
  </si>
  <si>
    <t>GATM SR</t>
  </si>
  <si>
    <t>PROJ</t>
  </si>
  <si>
    <t>MONITORAMENTO</t>
  </si>
  <si>
    <t>ZDESL</t>
  </si>
  <si>
    <t>ESTAGIARIO</t>
  </si>
  <si>
    <t>ADM</t>
  </si>
  <si>
    <t>GEO</t>
  </si>
  <si>
    <t>GEOMETRIA</t>
  </si>
  <si>
    <t>Lembrete</t>
  </si>
  <si>
    <t>TODOS OS OFI SÃO CONF PARA HORA EXTRA</t>
  </si>
  <si>
    <t>ID</t>
  </si>
  <si>
    <t>Hora_Ini</t>
  </si>
  <si>
    <t>NOME</t>
  </si>
  <si>
    <t>Area</t>
  </si>
  <si>
    <t>Posto</t>
  </si>
  <si>
    <t>Justif</t>
  </si>
  <si>
    <t>Impacto</t>
  </si>
  <si>
    <t>Ganho</t>
  </si>
  <si>
    <t>Duração</t>
  </si>
  <si>
    <t>Origem</t>
  </si>
  <si>
    <t>CC</t>
  </si>
  <si>
    <t>Data_HE</t>
  </si>
  <si>
    <t>Criticidade</t>
  </si>
  <si>
    <t>Qtdd</t>
  </si>
  <si>
    <t>Observações</t>
  </si>
  <si>
    <t>Status</t>
  </si>
  <si>
    <t>GI12722</t>
  </si>
  <si>
    <t>Manutenção</t>
  </si>
  <si>
    <t>GI12063</t>
  </si>
  <si>
    <t>QTDD</t>
  </si>
  <si>
    <t xml:space="preserve">IPN     </t>
  </si>
  <si>
    <t>SUGESTESTÃO DE COLAB</t>
  </si>
  <si>
    <t>COLABORADOR DEFINITIVO</t>
  </si>
  <si>
    <t>ID_SOLIC</t>
  </si>
  <si>
    <t>MPR / ILN</t>
  </si>
  <si>
    <t>GI21139</t>
  </si>
  <si>
    <t>LANÇAR COMO ILN/MPR</t>
  </si>
  <si>
    <t>PROJETO</t>
  </si>
  <si>
    <t>LANÇAR COMO PROJETO</t>
  </si>
  <si>
    <t>Rótulos de Coluna</t>
  </si>
  <si>
    <t>Rótulos de Linha</t>
  </si>
  <si>
    <t>Total Geral</t>
  </si>
  <si>
    <t>(vazio)</t>
  </si>
  <si>
    <t>Centro Custo</t>
  </si>
  <si>
    <t>Descrição</t>
  </si>
  <si>
    <t>Resp.</t>
  </si>
  <si>
    <t>Redefinir Hora Extra</t>
  </si>
  <si>
    <t>OBSERVAÇÕES HE</t>
  </si>
  <si>
    <t>LB00021</t>
  </si>
  <si>
    <t>Colaborador I</t>
  </si>
  <si>
    <t>LB00022</t>
  </si>
  <si>
    <t>Colaborador II</t>
  </si>
  <si>
    <t>LB00023</t>
  </si>
  <si>
    <t>Colaborador III</t>
  </si>
  <si>
    <t>LB00024</t>
  </si>
  <si>
    <t>Colaborador IV</t>
  </si>
  <si>
    <t>LB00025</t>
  </si>
  <si>
    <t>Colaborador V</t>
  </si>
  <si>
    <t>LB00026</t>
  </si>
  <si>
    <t>Colaborador VI</t>
  </si>
  <si>
    <t>LB00027</t>
  </si>
  <si>
    <t>Colaborador VII</t>
  </si>
  <si>
    <t>Supervisor I</t>
  </si>
  <si>
    <t>Supervisor II</t>
  </si>
  <si>
    <t>Supervisor III</t>
  </si>
  <si>
    <t>Supervisor IV</t>
  </si>
  <si>
    <t>Supervisor V</t>
  </si>
  <si>
    <t>Supervisor VI</t>
  </si>
  <si>
    <t>Analista I</t>
  </si>
  <si>
    <t>AREA 59</t>
  </si>
  <si>
    <t>24 - ESTRUTURA 4</t>
  </si>
  <si>
    <t>AREA 59-24 - ESTRUTURA 4:Linha com defeito</t>
  </si>
  <si>
    <t>Setor impactado</t>
  </si>
  <si>
    <t>Setor Beneficiado</t>
  </si>
  <si>
    <t>Setor de origem de atividade</t>
  </si>
  <si>
    <t>CC32330</t>
  </si>
  <si>
    <t>Nivel de criticidade</t>
  </si>
  <si>
    <t>Analista IV</t>
  </si>
  <si>
    <t>AREA 60</t>
  </si>
  <si>
    <t>25 - ESTRUTURA 2</t>
  </si>
  <si>
    <t>AREA 60-25 - ESTRUTURA 2:Linha com defeito</t>
  </si>
  <si>
    <t>CC32331</t>
  </si>
  <si>
    <t>Analista II</t>
  </si>
  <si>
    <t>AREA 61</t>
  </si>
  <si>
    <t>26 - ESTRUTURA 2</t>
  </si>
  <si>
    <t>AREA 61-26 - ESTRUTURA 2:Linha com defeito</t>
  </si>
  <si>
    <t>CC32332</t>
  </si>
  <si>
    <t>AREA 64</t>
  </si>
  <si>
    <t>29 - ESTRUTURA 2</t>
  </si>
  <si>
    <t>AREA 64-29 - ESTRUTURA 2:Linha com defeito</t>
  </si>
  <si>
    <t>CC32335</t>
  </si>
  <si>
    <t>AREA 65</t>
  </si>
  <si>
    <t>30 - ESTRUTURA 2</t>
  </si>
  <si>
    <t>AREA 65-30 - ESTRUTURA 2:Linha com defeito</t>
  </si>
  <si>
    <t>CC32336</t>
  </si>
  <si>
    <t>AREA 66</t>
  </si>
  <si>
    <t>31 - ESTRUTURA 2</t>
  </si>
  <si>
    <t>AREA 66-31 - ESTRUTURA 2:Linha com defeito</t>
  </si>
  <si>
    <t>CC32337</t>
  </si>
  <si>
    <t>LB00021 
LB00022
LB00023</t>
  </si>
  <si>
    <t>Colaborador I
Colaborador II
Colaborador III</t>
  </si>
  <si>
    <t/>
  </si>
  <si>
    <t>Setor 1</t>
  </si>
  <si>
    <t>Setor 2</t>
  </si>
  <si>
    <t>Setor 3</t>
  </si>
  <si>
    <t>Setor 4</t>
  </si>
  <si>
    <t>Setor 5</t>
  </si>
  <si>
    <t>Setor 6</t>
  </si>
  <si>
    <t>Chefe 1</t>
  </si>
  <si>
    <t>Chefe 2</t>
  </si>
  <si>
    <t>Chefe 3</t>
  </si>
  <si>
    <t>Chefe 4</t>
  </si>
  <si>
    <t>Chefe 5</t>
  </si>
  <si>
    <t>Chefe 6</t>
  </si>
  <si>
    <t>(Tudo)</t>
  </si>
  <si>
    <t>Contagem de MOD H</t>
  </si>
  <si>
    <t>Total Contagem de MOD H</t>
  </si>
  <si>
    <t>Total Contagem de MOS H</t>
  </si>
  <si>
    <t>Contagem de MOS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</si>
</sst>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name val="Arial"/>
      <family val="2"/>
    </font>
    <font>
      <sz val="11"/>
      <name val="Calibri"/>
      <family val="2"/>
      <scheme val="minor"/>
    </font>
    <font>
      <sz val="11"/>
      <color rgb="FF242424"/>
      <name val="Aptos Narro"/>
    </font>
    <font>
      <b/>
      <sz val="16"/>
      <name val="Arial"/>
      <family val="2"/>
    </font>
    <font>
      <b/>
      <sz val="11"/>
      <name val="Calibri Light"/>
      <family val="2"/>
      <scheme val="major"/>
    </font>
  </fonts>
  <fills count="2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456B6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/>
      <bottom style="thin">
        <color theme="1" tint="4.9989318521683403E-2"/>
      </bottom>
      <diagonal/>
    </border>
    <border>
      <left style="thin">
        <color theme="5" tint="-0.249977111117893"/>
      </left>
      <right style="thin">
        <color theme="1" tint="4.9989318521683403E-2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theme="1" tint="4.9989318521683403E-2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92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4" fontId="0" fillId="8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 indent="1"/>
    </xf>
    <xf numFmtId="0" fontId="0" fillId="0" borderId="0" xfId="0" pivotButton="1"/>
    <xf numFmtId="0" fontId="0" fillId="0" borderId="0" xfId="0" applyAlignment="1">
      <alignment horizontal="left"/>
    </xf>
    <xf numFmtId="14" fontId="0" fillId="15" borderId="1" xfId="0" applyNumberFormat="1" applyFill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14" fontId="0" fillId="8" borderId="9" xfId="0" applyNumberFormat="1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left" vertical="center" wrapText="1" indent="1"/>
    </xf>
    <xf numFmtId="0" fontId="8" fillId="7" borderId="10" xfId="1" applyFont="1" applyFill="1" applyBorder="1" applyAlignment="1">
      <alignment horizontal="left" vertical="center" wrapText="1" indent="1"/>
    </xf>
    <xf numFmtId="0" fontId="0" fillId="7" borderId="10" xfId="0" applyFill="1" applyBorder="1" applyAlignment="1" applyProtection="1">
      <alignment horizontal="left" vertical="center" wrapText="1" indent="1"/>
      <protection locked="0"/>
    </xf>
    <xf numFmtId="14" fontId="8" fillId="7" borderId="10" xfId="1" applyNumberFormat="1" applyFont="1" applyFill="1" applyBorder="1" applyAlignment="1">
      <alignment horizontal="left" vertical="center" wrapText="1" indent="1"/>
    </xf>
    <xf numFmtId="0" fontId="8" fillId="12" borderId="10" xfId="1" applyFont="1" applyFill="1" applyBorder="1" applyAlignment="1">
      <alignment horizontal="left" vertical="center" wrapText="1" indent="1"/>
    </xf>
    <xf numFmtId="0" fontId="0" fillId="12" borderId="10" xfId="0" applyFill="1" applyBorder="1" applyAlignment="1" applyProtection="1">
      <alignment horizontal="left" vertical="center" wrapText="1" indent="1"/>
      <protection locked="0"/>
    </xf>
    <xf numFmtId="0" fontId="0" fillId="3" borderId="10" xfId="0" applyFill="1" applyBorder="1" applyAlignment="1" applyProtection="1">
      <alignment horizontal="left" vertical="center" wrapText="1" indent="1"/>
      <protection locked="0"/>
    </xf>
    <xf numFmtId="0" fontId="0" fillId="0" borderId="10" xfId="0" applyBorder="1" applyAlignment="1">
      <alignment horizontal="left" vertical="center" wrapText="1" indent="1"/>
    </xf>
    <xf numFmtId="0" fontId="10" fillId="18" borderId="10" xfId="0" applyFont="1" applyFill="1" applyBorder="1" applyAlignment="1">
      <alignment horizontal="left" vertical="center" wrapText="1" indent="1"/>
    </xf>
    <xf numFmtId="0" fontId="9" fillId="9" borderId="10" xfId="0" applyFont="1" applyFill="1" applyBorder="1" applyAlignment="1" applyProtection="1">
      <alignment horizontal="left" vertical="center" wrapText="1" indent="1"/>
      <protection locked="0"/>
    </xf>
    <xf numFmtId="14" fontId="0" fillId="0" borderId="10" xfId="0" applyNumberFormat="1" applyBorder="1" applyAlignment="1">
      <alignment horizontal="left" vertical="center" wrapText="1" indent="1"/>
    </xf>
    <xf numFmtId="0" fontId="5" fillId="19" borderId="1" xfId="0" applyFont="1" applyFill="1" applyBorder="1" applyAlignment="1" applyProtection="1">
      <alignment horizontal="left" vertical="center" wrapText="1" indent="1"/>
      <protection locked="0"/>
    </xf>
    <xf numFmtId="0" fontId="11" fillId="19" borderId="1" xfId="1" applyFont="1" applyFill="1" applyBorder="1" applyAlignment="1">
      <alignment horizontal="left" vertical="center" wrapText="1" indent="1"/>
    </xf>
    <xf numFmtId="0" fontId="12" fillId="20" borderId="1" xfId="0" applyFont="1" applyFill="1" applyBorder="1" applyAlignment="1" applyProtection="1">
      <alignment horizontal="left" vertical="center" wrapText="1" indent="1"/>
      <protection locked="0"/>
    </xf>
    <xf numFmtId="9" fontId="12" fillId="21" borderId="1" xfId="0" applyNumberFormat="1" applyFont="1" applyFill="1" applyBorder="1" applyAlignment="1" applyProtection="1">
      <alignment horizontal="left" vertical="center" wrapText="1" indent="1"/>
      <protection locked="0"/>
    </xf>
    <xf numFmtId="9" fontId="0" fillId="0" borderId="10" xfId="0" applyNumberFormat="1" applyBorder="1" applyAlignment="1">
      <alignment horizontal="left" vertical="center" wrapText="1" indent="1"/>
    </xf>
    <xf numFmtId="0" fontId="9" fillId="16" borderId="1" xfId="0" applyFont="1" applyFill="1" applyBorder="1" applyAlignment="1" applyProtection="1">
      <alignment horizontal="left" vertical="center" wrapText="1" indent="1"/>
      <protection locked="0"/>
    </xf>
    <xf numFmtId="0" fontId="9" fillId="9" borderId="1" xfId="0" applyFont="1" applyFill="1" applyBorder="1" applyAlignment="1" applyProtection="1">
      <alignment horizontal="left" vertical="center" wrapText="1" indent="1"/>
      <protection locked="0"/>
    </xf>
    <xf numFmtId="0" fontId="0" fillId="17" borderId="1" xfId="0" applyFill="1" applyBorder="1" applyAlignment="1" applyProtection="1">
      <alignment horizontal="left" vertical="center" wrapText="1" indent="1"/>
      <protection locked="0"/>
    </xf>
    <xf numFmtId="0" fontId="0" fillId="0" borderId="0" xfId="0" applyAlignment="1">
      <alignment horizontal="left" indent="1"/>
    </xf>
    <xf numFmtId="0" fontId="4" fillId="22" borderId="1" xfId="0" applyFont="1" applyFill="1" applyBorder="1" applyAlignment="1" applyProtection="1">
      <alignment horizontal="left" vertical="center" wrapText="1" indent="1"/>
      <protection locked="0"/>
    </xf>
    <xf numFmtId="0" fontId="4" fillId="12" borderId="1" xfId="0" applyFont="1" applyFill="1" applyBorder="1" applyAlignment="1">
      <alignment horizontal="left" vertical="center" indent="1"/>
    </xf>
    <xf numFmtId="0" fontId="0" fillId="3" borderId="1" xfId="0" applyFill="1" applyBorder="1" applyAlignment="1" applyProtection="1">
      <alignment horizontal="left" vertical="center" wrapText="1" indent="1"/>
      <protection locked="0"/>
    </xf>
    <xf numFmtId="0" fontId="0" fillId="24" borderId="1" xfId="0" applyFill="1" applyBorder="1" applyAlignment="1">
      <alignment horizontal="left" vertical="center" wrapText="1" indent="1"/>
    </xf>
    <xf numFmtId="0" fontId="0" fillId="0" borderId="1" xfId="0" applyBorder="1" applyAlignment="1">
      <alignment horizontal="left" vertical="center" wrapText="1" indent="1"/>
    </xf>
    <xf numFmtId="0" fontId="0" fillId="25" borderId="0" xfId="0" applyFill="1" applyAlignment="1">
      <alignment horizontal="left" vertical="center" wrapText="1" indent="1"/>
    </xf>
    <xf numFmtId="0" fontId="8" fillId="7" borderId="18" xfId="1" applyFont="1" applyFill="1" applyBorder="1" applyAlignment="1">
      <alignment horizontal="left" vertical="center" wrapText="1" indent="1"/>
    </xf>
    <xf numFmtId="0" fontId="0" fillId="0" borderId="19" xfId="0" applyBorder="1" applyAlignment="1">
      <alignment horizontal="left" vertical="center" wrapText="1" indent="1"/>
    </xf>
    <xf numFmtId="0" fontId="0" fillId="12" borderId="18" xfId="0" applyFill="1" applyBorder="1" applyAlignment="1" applyProtection="1">
      <alignment horizontal="left" vertical="center" wrapText="1" indent="1"/>
      <protection locked="0"/>
    </xf>
    <xf numFmtId="0" fontId="10" fillId="18" borderId="19" xfId="0" applyFont="1" applyFill="1" applyBorder="1" applyAlignment="1">
      <alignment horizontal="left" vertical="center" wrapText="1" indent="1"/>
    </xf>
    <xf numFmtId="0" fontId="9" fillId="9" borderId="19" xfId="0" applyFont="1" applyFill="1" applyBorder="1" applyAlignment="1" applyProtection="1">
      <alignment horizontal="left" vertical="center" wrapText="1" indent="1"/>
      <protection locked="0"/>
    </xf>
    <xf numFmtId="14" fontId="0" fillId="0" borderId="19" xfId="0" applyNumberFormat="1" applyBorder="1" applyAlignment="1">
      <alignment horizontal="left" vertical="center" wrapText="1" indent="1"/>
    </xf>
    <xf numFmtId="0" fontId="5" fillId="19" borderId="2" xfId="0" applyFont="1" applyFill="1" applyBorder="1" applyAlignment="1" applyProtection="1">
      <alignment horizontal="left" vertical="center" wrapText="1" indent="1"/>
      <protection locked="0"/>
    </xf>
    <xf numFmtId="0" fontId="11" fillId="19" borderId="2" xfId="1" applyFont="1" applyFill="1" applyBorder="1" applyAlignment="1">
      <alignment horizontal="left" vertical="center" wrapText="1" indent="1"/>
    </xf>
    <xf numFmtId="0" fontId="12" fillId="20" borderId="2" xfId="0" applyFont="1" applyFill="1" applyBorder="1" applyAlignment="1" applyProtection="1">
      <alignment horizontal="left" vertical="center" wrapText="1" indent="1"/>
      <protection locked="0"/>
    </xf>
    <xf numFmtId="9" fontId="12" fillId="21" borderId="2" xfId="0" applyNumberFormat="1" applyFont="1" applyFill="1" applyBorder="1" applyAlignment="1" applyProtection="1">
      <alignment horizontal="left" vertical="center" wrapText="1" indent="1"/>
      <protection locked="0"/>
    </xf>
    <xf numFmtId="9" fontId="0" fillId="0" borderId="19" xfId="0" applyNumberFormat="1" applyBorder="1" applyAlignment="1">
      <alignment horizontal="left" vertical="center" wrapText="1" indent="1"/>
    </xf>
    <xf numFmtId="0" fontId="8" fillId="7" borderId="19" xfId="1" applyFont="1" applyFill="1" applyBorder="1" applyAlignment="1">
      <alignment horizontal="left" vertical="center" wrapText="1" indent="1"/>
    </xf>
    <xf numFmtId="0" fontId="0" fillId="7" borderId="19" xfId="0" applyFill="1" applyBorder="1" applyAlignment="1" applyProtection="1">
      <alignment horizontal="left" vertical="center" wrapText="1" indent="1"/>
      <protection locked="0"/>
    </xf>
    <xf numFmtId="14" fontId="8" fillId="7" borderId="19" xfId="1" applyNumberFormat="1" applyFont="1" applyFill="1" applyBorder="1" applyAlignment="1">
      <alignment horizontal="left" vertical="center" wrapText="1" indent="1"/>
    </xf>
    <xf numFmtId="0" fontId="8" fillId="12" borderId="19" xfId="1" applyFont="1" applyFill="1" applyBorder="1" applyAlignment="1">
      <alignment horizontal="left" vertical="center" wrapText="1" indent="1"/>
    </xf>
    <xf numFmtId="0" fontId="0" fillId="12" borderId="19" xfId="0" applyFill="1" applyBorder="1" applyAlignment="1" applyProtection="1">
      <alignment horizontal="left" vertical="center" wrapText="1" indent="1"/>
      <protection locked="0"/>
    </xf>
    <xf numFmtId="0" fontId="0" fillId="3" borderId="19" xfId="0" applyFill="1" applyBorder="1" applyAlignment="1" applyProtection="1">
      <alignment horizontal="left" vertical="center" wrapText="1" indent="1"/>
      <protection locked="0"/>
    </xf>
    <xf numFmtId="0" fontId="7" fillId="2" borderId="20" xfId="1" applyFont="1" applyFill="1" applyBorder="1" applyAlignment="1">
      <alignment horizontal="left" vertical="center" wrapText="1" indent="1"/>
    </xf>
    <xf numFmtId="0" fontId="7" fillId="2" borderId="21" xfId="1" applyFont="1" applyFill="1" applyBorder="1" applyAlignment="1">
      <alignment horizontal="left" vertical="center" wrapText="1" indent="1"/>
    </xf>
    <xf numFmtId="0" fontId="7" fillId="5" borderId="21" xfId="1" applyFont="1" applyFill="1" applyBorder="1" applyAlignment="1">
      <alignment horizontal="left" vertical="center" wrapText="1" indent="1"/>
    </xf>
    <xf numFmtId="0" fontId="7" fillId="6" borderId="21" xfId="1" applyFont="1" applyFill="1" applyBorder="1" applyAlignment="1">
      <alignment horizontal="left" vertical="center" wrapText="1" indent="1"/>
    </xf>
    <xf numFmtId="0" fontId="6" fillId="10" borderId="21" xfId="1" applyFont="1" applyFill="1" applyBorder="1" applyAlignment="1">
      <alignment horizontal="left" vertical="center" wrapText="1" indent="1"/>
    </xf>
    <xf numFmtId="0" fontId="7" fillId="2" borderId="22" xfId="1" applyFont="1" applyFill="1" applyBorder="1" applyAlignment="1">
      <alignment horizontal="left" vertical="center" wrapText="1" indent="1"/>
    </xf>
    <xf numFmtId="0" fontId="0" fillId="11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4" fillId="0" borderId="7" xfId="2" applyFont="1" applyBorder="1" applyAlignment="1">
      <alignment horizontal="left" vertical="center" wrapText="1"/>
    </xf>
    <xf numFmtId="0" fontId="4" fillId="0" borderId="8" xfId="2" applyFont="1" applyBorder="1" applyAlignment="1">
      <alignment horizontal="left" vertical="center" wrapText="1"/>
    </xf>
    <xf numFmtId="0" fontId="0" fillId="4" borderId="1" xfId="2" applyFont="1" applyFill="1" applyBorder="1" applyAlignment="1" applyProtection="1">
      <alignment horizontal="left" vertical="center" wrapText="1"/>
      <protection locked="0"/>
    </xf>
    <xf numFmtId="0" fontId="0" fillId="23" borderId="1" xfId="0" applyFill="1" applyBorder="1" applyAlignment="1">
      <alignment horizontal="left" vertical="center" wrapText="1"/>
    </xf>
    <xf numFmtId="0" fontId="0" fillId="4" borderId="6" xfId="2" applyFont="1" applyFill="1" applyBorder="1" applyAlignment="1">
      <alignment horizontal="left" vertical="center" wrapText="1"/>
    </xf>
    <xf numFmtId="0" fontId="0" fillId="23" borderId="5" xfId="2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4" borderId="4" xfId="2" applyFont="1" applyFill="1" applyBorder="1" applyAlignment="1">
      <alignment horizontal="left" vertical="center" wrapText="1"/>
    </xf>
    <xf numFmtId="0" fontId="0" fillId="23" borderId="3" xfId="2" applyFont="1" applyFill="1" applyBorder="1" applyAlignment="1">
      <alignment horizontal="left" vertical="center" wrapText="1"/>
    </xf>
    <xf numFmtId="0" fontId="0" fillId="4" borderId="9" xfId="2" applyFont="1" applyFill="1" applyBorder="1" applyAlignment="1" applyProtection="1">
      <alignment horizontal="left" vertical="center" wrapText="1"/>
      <protection locked="0"/>
    </xf>
    <xf numFmtId="0" fontId="0" fillId="23" borderId="9" xfId="0" applyFill="1" applyBorder="1" applyAlignment="1">
      <alignment horizontal="left" vertical="center" wrapText="1"/>
    </xf>
    <xf numFmtId="0" fontId="0" fillId="4" borderId="17" xfId="0" applyFill="1" applyBorder="1" applyAlignment="1">
      <alignment horizontal="left" vertical="center" wrapText="1"/>
    </xf>
    <xf numFmtId="0" fontId="0" fillId="26" borderId="6" xfId="0" applyFill="1" applyBorder="1" applyAlignment="1">
      <alignment horizontal="left" vertical="center" wrapText="1"/>
    </xf>
    <xf numFmtId="22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</cellXfs>
  <cellStyles count="3">
    <cellStyle name="Normal" xfId="0" builtinId="0"/>
    <cellStyle name="Normal 2" xfId="2" xr:uid="{98F9FDFD-F4CC-449E-849E-51EA14924560}"/>
    <cellStyle name="Normal_Cópia de FORMULARIO HORA EXTRA AUTOMÁTIC" xfId="1" xr:uid="{01CE5611-3E52-4026-BC37-14F72B54A80C}"/>
  </cellStyles>
  <dxfs count="67">
    <dxf>
      <font>
        <b/>
        <i val="0"/>
      </font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27" formatCode="dd/mm/yyyy\ hh:mm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indent="0" justifyLastLine="0" shrinkToFit="0" readingOrder="0"/>
    </dxf>
    <dxf>
      <fill>
        <patternFill patternType="solid">
          <fgColor indexed="64"/>
          <bgColor rgb="FF456B69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alignment horizontal="left" vertical="center" textRotation="0" indent="0" justifyLastLine="0" shrinkToFit="0" readingOrder="0"/>
    </dxf>
    <dxf>
      <numFmt numFmtId="0" formatCode="General"/>
      <alignment horizontal="left" vertical="center" textRotation="0" indent="0" justifyLastLine="0" shrinkToFit="0" readingOrder="0"/>
    </dxf>
    <dxf>
      <numFmt numFmtId="0" formatCode="General"/>
      <alignment horizontal="left" vertical="center" textRotation="0" indent="0" justifyLastLine="0" shrinkToFit="0" readingOrder="0"/>
    </dxf>
    <dxf>
      <numFmt numFmtId="0" formatCode="General"/>
      <alignment horizontal="left" vertical="center" textRotation="0" indent="0" justifyLastLine="0" shrinkToFit="0" readingOrder="0"/>
    </dxf>
    <dxf>
      <numFmt numFmtId="0" formatCode="General"/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0" formatCode="General"/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456B69"/>
      <color rgb="FF66FF3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connections" Target="connection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23" Type="http://schemas.openxmlformats.org/officeDocument/2006/relationships/customXml" Target="../customXml/item2.xml"/><Relationship Id="rId10" Type="http://schemas.openxmlformats.org/officeDocument/2006/relationships/pivotCacheDefinition" Target="pivotCache/pivotCacheDefinition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46830</xdr:colOff>
      <xdr:row>1</xdr:row>
      <xdr:rowOff>761227</xdr:rowOff>
    </xdr:from>
    <xdr:to>
      <xdr:col>29</xdr:col>
      <xdr:colOff>948349</xdr:colOff>
      <xdr:row>3</xdr:row>
      <xdr:rowOff>72184</xdr:rowOff>
    </xdr:to>
    <xdr:pic macro="[0]!RedefinirHoraExtraPeloModelo">
      <xdr:nvPicPr>
        <xdr:cNvPr id="3" name="Gráfico 2" descr="Seta circular com preenchimento sólido">
          <a:extLst>
            <a:ext uri="{FF2B5EF4-FFF2-40B4-BE49-F238E27FC236}">
              <a16:creationId xmlns:a16="http://schemas.microsoft.com/office/drawing/2014/main" id="{D54ABBA8-7AFF-ADA6-3033-F67676AA6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990723" y="1346334"/>
          <a:ext cx="898344" cy="910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9525</xdr:rowOff>
    </xdr:from>
    <xdr:to>
      <xdr:col>0</xdr:col>
      <xdr:colOff>1847850</xdr:colOff>
      <xdr:row>13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ATM">
              <a:extLst>
                <a:ext uri="{FF2B5EF4-FFF2-40B4-BE49-F238E27FC236}">
                  <a16:creationId xmlns:a16="http://schemas.microsoft.com/office/drawing/2014/main" id="{0C0A50B5-7935-15D8-C2AC-9937532C05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AT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95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19050</xdr:colOff>
      <xdr:row>0</xdr:row>
      <xdr:rowOff>9525</xdr:rowOff>
    </xdr:from>
    <xdr:to>
      <xdr:col>1</xdr:col>
      <xdr:colOff>1847850</xdr:colOff>
      <xdr:row>13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ATA">
              <a:extLst>
                <a:ext uri="{FF2B5EF4-FFF2-40B4-BE49-F238E27FC236}">
                  <a16:creationId xmlns:a16="http://schemas.microsoft.com/office/drawing/2014/main" id="{BE216D26-EBFE-846E-1338-68C032AB3FA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5950" y="95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19050</xdr:colOff>
      <xdr:row>13</xdr:row>
      <xdr:rowOff>76200</xdr:rowOff>
    </xdr:from>
    <xdr:to>
      <xdr:col>0</xdr:col>
      <xdr:colOff>1847850</xdr:colOff>
      <xdr:row>26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C">
              <a:extLst>
                <a:ext uri="{FF2B5EF4-FFF2-40B4-BE49-F238E27FC236}">
                  <a16:creationId xmlns:a16="http://schemas.microsoft.com/office/drawing/2014/main" id="{B3BEB72A-CA34-C112-1197-2380BC9B6D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25527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1828800</xdr:colOff>
      <xdr:row>13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ATM 1">
              <a:extLst>
                <a:ext uri="{FF2B5EF4-FFF2-40B4-BE49-F238E27FC236}">
                  <a16:creationId xmlns:a16="http://schemas.microsoft.com/office/drawing/2014/main" id="{6F26A942-C48B-92D9-DC99-E4FB8009B58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AT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13</xdr:row>
      <xdr:rowOff>66675</xdr:rowOff>
    </xdr:from>
    <xdr:to>
      <xdr:col>0</xdr:col>
      <xdr:colOff>1828800</xdr:colOff>
      <xdr:row>26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C 1">
              <a:extLst>
                <a:ext uri="{FF2B5EF4-FFF2-40B4-BE49-F238E27FC236}">
                  <a16:creationId xmlns:a16="http://schemas.microsoft.com/office/drawing/2014/main" id="{D8481E5D-E71A-CD8D-BA38-8927AFAE52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5431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9525</xdr:colOff>
      <xdr:row>0</xdr:row>
      <xdr:rowOff>9525</xdr:rowOff>
    </xdr:from>
    <xdr:to>
      <xdr:col>1</xdr:col>
      <xdr:colOff>1838325</xdr:colOff>
      <xdr:row>13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IA DA SEMANA">
              <a:extLst>
                <a:ext uri="{FF2B5EF4-FFF2-40B4-BE49-F238E27FC236}">
                  <a16:creationId xmlns:a16="http://schemas.microsoft.com/office/drawing/2014/main" id="{C12FE2DE-5B7D-C953-1E05-14F8C37C6B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A DA SEMA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57375" y="95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REIRA Gabriel (renexter)" refreshedDate="46211.439953472225" createdVersion="8" refreshedVersion="8" minRefreshableVersion="3" recordCount="8" xr:uid="{997794F9-A063-4DD7-A4DC-DF81A0462AD2}">
  <cacheSource type="worksheet">
    <worksheetSource ref="A1:AB9" sheet="HORA EXTRA"/>
  </cacheSource>
  <cacheFields count="28">
    <cacheField name="GATM" numFmtId="0">
      <sharedItems count="3">
        <s v="Analista I"/>
        <s v="Analista IV"/>
        <s v="Analista II"/>
      </sharedItems>
    </cacheField>
    <cacheField name="AREA" numFmtId="0">
      <sharedItems/>
    </cacheField>
    <cacheField name="TRABALHO" numFmtId="0">
      <sharedItems/>
    </cacheField>
    <cacheField name="DESCR." numFmtId="0">
      <sharedItems/>
    </cacheField>
    <cacheField name="IMPACTO" numFmtId="0">
      <sharedItems/>
    </cacheField>
    <cacheField name="GANHO" numFmtId="0">
      <sharedItems/>
    </cacheField>
    <cacheField name="HORAS" numFmtId="0">
      <sharedItems containsSemiMixedTypes="0" containsString="0" containsNumber="1" containsInteger="1" minValue="8" maxValue="8"/>
    </cacheField>
    <cacheField name="ORIGEM" numFmtId="0">
      <sharedItems count="1">
        <s v="Setor de origem de atividade"/>
      </sharedItems>
    </cacheField>
    <cacheField name="CC" numFmtId="0">
      <sharedItems count="3">
        <s v="CC32335"/>
        <s v="CC32336"/>
        <s v="CC32337"/>
      </sharedItems>
    </cacheField>
    <cacheField name="DATA" numFmtId="14">
      <sharedItems containsNonDate="0" containsString="0" containsBlank="1" count="1">
        <m/>
      </sharedItems>
    </cacheField>
    <cacheField name="DIA DA SEMANA" numFmtId="0">
      <sharedItems containsNonDate="0" containsString="0" containsBlank="1" count="1">
        <m/>
      </sharedItems>
    </cacheField>
    <cacheField name="MOD Q" numFmtId="0">
      <sharedItems containsNonDate="0" containsString="0" containsBlank="1"/>
    </cacheField>
    <cacheField name="MOS Q" numFmtId="0">
      <sharedItems containsNonDate="0" containsString="0" containsBlank="1"/>
    </cacheField>
    <cacheField name="TOT Q" numFmtId="0">
      <sharedItems containsNonDate="0" containsString="0" containsBlank="1"/>
    </cacheField>
    <cacheField name="MOD H" numFmtId="0">
      <sharedItems containsNonDate="0" containsString="0" containsBlank="1"/>
    </cacheField>
    <cacheField name="MOS H" numFmtId="0">
      <sharedItems containsNonDate="0" containsString="0" containsBlank="1"/>
    </cacheField>
    <cacheField name="TOT HORAS" numFmtId="0">
      <sharedItems containsNonDate="0" containsString="0" containsBlank="1"/>
    </cacheField>
    <cacheField name="OBSERVAÇÕES" numFmtId="0">
      <sharedItems containsNonDate="0" containsString="0" containsBlank="1"/>
    </cacheField>
    <cacheField name="OBSERVAÇÕES HE" numFmtId="0">
      <sharedItems containsNonDate="0" containsString="0" containsBlank="1"/>
    </cacheField>
    <cacheField name="CRITICIDADE" numFmtId="0">
      <sharedItems containsNonDate="0" containsString="0" containsBlank="1"/>
    </cacheField>
    <cacheField name="ID TRABALHO" numFmtId="0">
      <sharedItems containsNonDate="0" containsString="0" containsBlank="1"/>
    </cacheField>
    <cacheField name="STATUS" numFmtId="0">
      <sharedItems containsNonDate="0" containsString="0" containsBlank="1"/>
    </cacheField>
    <cacheField name="QTDD" numFmtId="0">
      <sharedItems containsBlank="1"/>
    </cacheField>
    <cacheField name="IPN     " numFmtId="0">
      <sharedItems containsNonDate="0" containsString="0" containsBlank="1"/>
    </cacheField>
    <cacheField name="SUGESTESTÃO DE COLAB" numFmtId="0">
      <sharedItems containsNonDate="0" containsString="0" containsBlank="1"/>
    </cacheField>
    <cacheField name="COLABORADOR DEFINITIVO" numFmtId="0">
      <sharedItems containsNonDate="0" containsString="0" containsBlank="1"/>
    </cacheField>
    <cacheField name="TURNO" numFmtId="0">
      <sharedItems containsNonDate="0" containsString="0" containsBlank="1"/>
    </cacheField>
    <cacheField name="BP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05357456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s v="AREA 64"/>
    <s v="29 - ESTRUTURA 2"/>
    <s v="AREA 64-29 - ESTRUTURA 2:Linha com defeito"/>
    <s v="Setor impactado"/>
    <s v="Setor Beneficiado"/>
    <n v="8"/>
    <x v="0"/>
    <x v="0"/>
    <x v="0"/>
    <x v="0"/>
    <m/>
    <m/>
    <m/>
    <m/>
    <m/>
    <m/>
    <m/>
    <m/>
    <m/>
    <m/>
    <m/>
    <m/>
    <m/>
    <m/>
    <m/>
    <m/>
    <m/>
  </r>
  <r>
    <x v="1"/>
    <s v="AREA 65"/>
    <s v="30 - ESTRUTURA 2"/>
    <s v="AREA 65-30 - ESTRUTURA 2:Linha com defeito"/>
    <s v="Setor impactado"/>
    <s v="Setor Beneficiado"/>
    <n v="8"/>
    <x v="0"/>
    <x v="1"/>
    <x v="0"/>
    <x v="0"/>
    <m/>
    <m/>
    <m/>
    <m/>
    <m/>
    <m/>
    <m/>
    <m/>
    <m/>
    <m/>
    <m/>
    <s v=""/>
    <m/>
    <m/>
    <m/>
    <m/>
    <m/>
  </r>
  <r>
    <x v="2"/>
    <s v="AREA 66"/>
    <s v="31 - ESTRUTURA 2"/>
    <s v="AREA 66-31 - ESTRUTURA 2:Linha com defeito"/>
    <s v="Setor impactado"/>
    <s v="Setor Beneficiado"/>
    <n v="8"/>
    <x v="0"/>
    <x v="2"/>
    <x v="0"/>
    <x v="0"/>
    <m/>
    <m/>
    <m/>
    <m/>
    <m/>
    <m/>
    <m/>
    <m/>
    <m/>
    <m/>
    <m/>
    <m/>
    <m/>
    <m/>
    <m/>
    <m/>
    <m/>
  </r>
  <r>
    <x v="0"/>
    <s v="AREA 64"/>
    <s v="29 - ESTRUTURA 2"/>
    <s v="AREA 64-29 - ESTRUTURA 2:Linha com defeito"/>
    <s v="Setor impactado"/>
    <s v="Setor Beneficiado"/>
    <n v="8"/>
    <x v="0"/>
    <x v="0"/>
    <x v="0"/>
    <x v="0"/>
    <m/>
    <m/>
    <m/>
    <m/>
    <m/>
    <m/>
    <m/>
    <m/>
    <m/>
    <m/>
    <m/>
    <s v=""/>
    <m/>
    <m/>
    <m/>
    <m/>
    <m/>
  </r>
  <r>
    <x v="1"/>
    <s v="AREA 65"/>
    <s v="30 - ESTRUTURA 2"/>
    <s v="AREA 65-30 - ESTRUTURA 2:Linha com defeito"/>
    <s v="Setor impactado"/>
    <s v="Setor Beneficiado"/>
    <n v="8"/>
    <x v="0"/>
    <x v="1"/>
    <x v="0"/>
    <x v="0"/>
    <m/>
    <m/>
    <m/>
    <m/>
    <m/>
    <m/>
    <m/>
    <m/>
    <m/>
    <m/>
    <m/>
    <s v=""/>
    <m/>
    <m/>
    <m/>
    <m/>
    <m/>
  </r>
  <r>
    <x v="2"/>
    <s v="AREA 66"/>
    <s v="31 - ESTRUTURA 2"/>
    <s v="AREA 66-31 - ESTRUTURA 2:Linha com defeito"/>
    <s v="Setor impactado"/>
    <s v="Setor Beneficiado"/>
    <n v="8"/>
    <x v="0"/>
    <x v="2"/>
    <x v="0"/>
    <x v="0"/>
    <m/>
    <m/>
    <m/>
    <m/>
    <m/>
    <m/>
    <m/>
    <m/>
    <m/>
    <m/>
    <m/>
    <s v=""/>
    <m/>
    <m/>
    <m/>
    <m/>
    <m/>
  </r>
  <r>
    <x v="1"/>
    <s v="AREA 65"/>
    <s v="30 - ESTRUTURA 2"/>
    <s v="AREA 65-30 - ESTRUTURA 2:Linha com defeito"/>
    <s v="Setor impactado"/>
    <s v="Setor Beneficiado"/>
    <n v="8"/>
    <x v="0"/>
    <x v="1"/>
    <x v="0"/>
    <x v="0"/>
    <m/>
    <m/>
    <m/>
    <m/>
    <m/>
    <m/>
    <m/>
    <m/>
    <m/>
    <m/>
    <m/>
    <s v=""/>
    <m/>
    <m/>
    <m/>
    <m/>
    <m/>
  </r>
  <r>
    <x v="1"/>
    <s v="AREA 65"/>
    <s v="30 - ESTRUTURA 2"/>
    <s v="AREA 65-30 - ESTRUTURA 2:Linha com defeito"/>
    <s v="Setor impactado"/>
    <s v="Setor Beneficiado"/>
    <n v="8"/>
    <x v="0"/>
    <x v="1"/>
    <x v="0"/>
    <x v="0"/>
    <m/>
    <m/>
    <m/>
    <m/>
    <m/>
    <m/>
    <m/>
    <m/>
    <m/>
    <m/>
    <m/>
    <s v="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9ADB41-04EF-447B-A58F-C3B9854A2AE9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3:G10" firstHeaderRow="1" firstDataRow="3" firstDataCol="1" rowPageCount="1" colPageCount="1"/>
  <pivotFields count="28">
    <pivotField axis="axisPage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7"/>
    <field x="8"/>
  </rowFields>
  <rowItems count="5">
    <i>
      <x/>
    </i>
    <i r="1">
      <x/>
    </i>
    <i r="1">
      <x v="1"/>
    </i>
    <i r="1">
      <x v="2"/>
    </i>
    <i t="grand">
      <x/>
    </i>
  </rowItems>
  <colFields count="2">
    <field x="10"/>
    <field x="-2"/>
  </colFields>
  <colItems count="4">
    <i>
      <x/>
      <x/>
    </i>
    <i r="1" i="1">
      <x v="1"/>
    </i>
    <i t="grand">
      <x/>
    </i>
    <i t="grand" i="1">
      <x/>
    </i>
  </colItems>
  <pageFields count="1">
    <pageField fld="0" hier="-1"/>
  </pageFields>
  <dataFields count="2">
    <dataField name="Contagem de MOD H" fld="14" subtotal="count" baseField="0" baseItem="0"/>
    <dataField name="Contagem de MOS H" fld="1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77045-255D-4356-ADFB-9902BC695742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3:G9" firstHeaderRow="1" firstDataRow="3" firstDataCol="1"/>
  <pivotFields count="28">
    <pivotField axis="axisRow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2">
    <field x="10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Contagem de MOD H" fld="14" subtotal="count" baseField="0" baseItem="0"/>
    <dataField name="Contagem de MOS H" fld="1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76ECE765-2872-4D4A-A22F-B62D59DB2D33}" autoFormatId="16" applyNumberFormats="0" applyBorderFormats="0" applyFontFormats="0" applyPatternFormats="0" applyAlignmentFormats="0" applyWidthHeightFormats="0">
  <queryTableRefresh nextId="5">
    <queryTableFields count="4">
      <queryTableField id="1" name="SEM" tableColumnId="1"/>
      <queryTableField id="2" name="DS" tableColumnId="2"/>
      <queryTableField id="3" name="DATA" tableColumnId="3"/>
      <queryTableField id="4" name="NDIA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6BE095A5-2152-4A14-A265-372F39D8ABC4}" autoFormatId="16" applyNumberFormats="0" applyBorderFormats="0" applyFontFormats="0" applyPatternFormats="0" applyAlignmentFormats="0" applyWidthHeightFormats="0">
  <queryTableRefresh nextId="8" unboundColumnsRight="2">
    <queryTableFields count="7">
      <queryTableField id="1" name="IPN" tableColumnId="1"/>
      <queryTableField id="2" name="COLABORADOR" tableColumnId="2"/>
      <queryTableField id="3" name="TURNO" tableColumnId="3"/>
      <queryTableField id="4" name="FUNÇÃO" tableColumnId="4"/>
      <queryTableField id="5" name="BPU" tableColumnId="5"/>
      <queryTableField id="6" dataBound="0" tableColumnId="6"/>
      <queryTableField id="7" dataBound="0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3" xr16:uid="{0FF6034A-F394-452A-BE07-C6BF403F0E27}" autoFormatId="16" applyNumberFormats="0" applyBorderFormats="0" applyFontFormats="0" applyPatternFormats="0" applyAlignmentFormats="0" applyWidthHeightFormats="0">
  <queryTableRefresh nextId="19">
    <queryTableFields count="18">
      <queryTableField id="1" name="ID" tableColumnId="1"/>
      <queryTableField id="2" name="Hora_Ini" tableColumnId="2"/>
      <queryTableField id="3" name="NOME" tableColumnId="3"/>
      <queryTableField id="4" name="Area" tableColumnId="4"/>
      <queryTableField id="5" name="Posto" tableColumnId="5"/>
      <queryTableField id="6" name="Justif" tableColumnId="6"/>
      <queryTableField id="7" name="Impacto" tableColumnId="7"/>
      <queryTableField id="8" name="Ganho" tableColumnId="8"/>
      <queryTableField id="9" name="Duração" tableColumnId="9"/>
      <queryTableField id="10" name="Origem" tableColumnId="10"/>
      <queryTableField id="11" name="CC" tableColumnId="11"/>
      <queryTableField id="12" name="Data_HE" tableColumnId="12"/>
      <queryTableField id="13" name="Criticidade" tableColumnId="13"/>
      <queryTableField id="14" name="Qtdd" tableColumnId="14"/>
      <queryTableField id="15" name="IPN" tableColumnId="15"/>
      <queryTableField id="16" name="Colaborador" tableColumnId="16"/>
      <queryTableField id="17" name="Observações" tableColumnId="17"/>
      <queryTableField id="18" name="Status" tableColumnId="1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ATM" xr10:uid="{7297DADE-E5FB-4DE4-9C87-5799B80C0A1D}" sourceName="GATM">
  <pivotTables>
    <pivotTable tabId="39" name="Tabela dinâmica2"/>
  </pivotTables>
  <data>
    <tabular pivotCacheId="1053574561">
      <items count="3">
        <i x="0" s="1" nd="1"/>
        <i x="2" s="1" nd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" xr10:uid="{BB343C15-0BA0-44FB-9B57-0BA7C454E02A}" sourceName="DATA">
  <pivotTables>
    <pivotTable tabId="39" name="Tabela dinâmica2"/>
  </pivotTables>
  <data>
    <tabular pivotCacheId="1053574561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C" xr10:uid="{9B4B8D37-A244-4EA6-ACB3-114DC385968E}" sourceName="CC">
  <pivotTables>
    <pivotTable tabId="39" name="Tabela dinâmica2"/>
  </pivotTables>
  <data>
    <tabular pivotCacheId="1053574561">
      <items count="3">
        <i x="0" s="1" nd="1"/>
        <i x="1" s="1" nd="1"/>
        <i x="2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ATM1" xr10:uid="{6E9623AC-EB1A-41B2-AC33-3CBE191ECBF3}" sourceName="GATM">
  <pivotTables>
    <pivotTable tabId="40" name="Tabela dinâmica3"/>
  </pivotTables>
  <data>
    <tabular pivotCacheId="1053574561">
      <items count="3">
        <i x="0" s="1" nd="1"/>
        <i x="2" s="1" nd="1"/>
        <i x="1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C1" xr10:uid="{3F54D4FF-07F7-475F-9727-FE09444BEE22}" sourceName="CC">
  <pivotTables>
    <pivotTable tabId="40" name="Tabela dinâmica3"/>
  </pivotTables>
  <data>
    <tabular pivotCacheId="1053574561">
      <items count="3">
        <i x="0" s="1" nd="1"/>
        <i x="1" s="1" nd="1"/>
        <i x="2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A_DA_SEMANA" xr10:uid="{F256D460-141F-41C7-A464-50F2EDE154DE}" sourceName="DIA DA SEMANA">
  <pivotTables>
    <pivotTable tabId="40" name="Tabela dinâmica3"/>
  </pivotTables>
  <data>
    <tabular pivotCacheId="1053574561">
      <items count="1"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ATM" xr10:uid="{6B929250-35A0-497B-9ACB-713217F63CAE}" cache="SegmentaçãodeDados_GATM" caption="GATM" rowHeight="241300"/>
  <slicer name="DATA" xr10:uid="{463C0E64-33E5-4CEE-9057-C2BD887C5F70}" cache="SegmentaçãodeDados_DATA" caption="DATA" rowHeight="241300"/>
  <slicer name="CC" xr10:uid="{1B7F511E-4789-4CDB-89E0-F6074309D270}" cache="SegmentaçãodeDados_CC" caption="CC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ATM 1" xr10:uid="{0DD5B15C-0DAE-4F31-A34D-77740190FEAA}" cache="SegmentaçãodeDados_GATM1" caption="GATM" rowHeight="241300"/>
  <slicer name="CC 1" xr10:uid="{8B52DEA0-5931-44C2-B453-4BBB68D16D87}" cache="SegmentaçãodeDados_CC1" caption="CC" rowHeight="241300"/>
  <slicer name="DIA DA SEMANA" xr10:uid="{D407E5DB-6481-451F-8424-E505809DB9CA}" cache="SegmentaçãodeDados_DIA_DA_SEMANA" caption="DIA DA SEMANA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ECC2A4-465C-4BC5-B554-C77593D4EC1D}" name="DIAS_SELECT" displayName="DIAS_SELECT" ref="A1:D9" tableType="queryTable" totalsRowShown="0">
  <autoFilter ref="A1:D9" xr:uid="{6BECC2A4-465C-4BC5-B554-C77593D4EC1D}"/>
  <tableColumns count="4">
    <tableColumn id="1" xr3:uid="{F2D252E7-5FE5-432B-B903-AA7CE8D6ECDE}" uniqueName="1" name="SEM" queryTableFieldId="1"/>
    <tableColumn id="2" xr3:uid="{E10A1D02-527D-4FCD-8C43-47243189B367}" uniqueName="2" name="DS" queryTableFieldId="2" dataDxfId="58"/>
    <tableColumn id="3" xr3:uid="{58B72A36-5943-460D-B95C-F1A87F6BC5A5}" uniqueName="3" name="DATA" queryTableFieldId="3" dataDxfId="57"/>
    <tableColumn id="4" xr3:uid="{B372D305-13F4-4736-8EE6-1CFFE51BDF17}" uniqueName="4" name="NDIA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CF8D51-D3FE-4E80-946B-B3BA149BFE53}" name="Tabela1" displayName="Tabela1" ref="A4:D12" totalsRowShown="0" headerRowDxfId="56" headerRowBorderDxfId="55" tableBorderDxfId="54" totalsRowBorderDxfId="53">
  <autoFilter ref="A4:D12" xr:uid="{45CF8D51-D3FE-4E80-946B-B3BA149BFE53}"/>
  <tableColumns count="4">
    <tableColumn id="1" xr3:uid="{9FCF70B2-5C6B-4134-976F-E01106DC989A}" name="SEM" dataDxfId="52">
      <calculatedColumnFormula>_xlfn.ISOWEEKNUM(C5)</calculatedColumnFormula>
    </tableColumn>
    <tableColumn id="2" xr3:uid="{F553C6F4-9DA6-41CA-B580-905EAFFCA33B}" name="DS" dataDxfId="51"/>
    <tableColumn id="3" xr3:uid="{986325CA-4D1F-431A-AFE3-C1195CA2363D}" name="DATA" dataDxfId="50">
      <calculatedColumnFormula>C4+1</calculatedColumnFormula>
    </tableColumn>
    <tableColumn id="4" xr3:uid="{E297D448-BFD3-4A33-AFCD-71D41A72614A}" name="NDIA" dataDxfId="49">
      <calculatedColumnFormula>WEEKDAY(C5)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99ACC4-473F-4ABE-AB45-2BC105E33C4E}" name="COLABORADORES" displayName="COLABORADORES" ref="A1:G13" tableType="queryTable" totalsRowShown="0" headerRowDxfId="48" dataDxfId="47">
  <autoFilter ref="A1:G13" xr:uid="{0499ACC4-473F-4ABE-AB45-2BC105E33C4E}"/>
  <tableColumns count="7">
    <tableColumn id="1" xr3:uid="{FD812634-94A1-43DB-AC12-68BA7402549F}" uniqueName="1" name="IPN" queryTableFieldId="1" dataDxfId="46"/>
    <tableColumn id="2" xr3:uid="{1D046D91-4C63-4AEC-A8DE-1D3CB8346861}" uniqueName="2" name="COLABORADOR" queryTableFieldId="2" dataDxfId="45"/>
    <tableColumn id="3" xr3:uid="{743113F6-446A-4EDC-9426-262EE0B381E5}" uniqueName="3" name="TURNO" queryTableFieldId="3" dataDxfId="44"/>
    <tableColumn id="4" xr3:uid="{3A4C5AC7-7098-4F83-899E-B4D00C88EE73}" uniqueName="4" name="FUNÇÃO" queryTableFieldId="4" dataDxfId="43"/>
    <tableColumn id="5" xr3:uid="{D3531E6A-1BBC-43E8-8488-CFDB51AAF9FF}" uniqueName="5" name="BPU" queryTableFieldId="5" dataDxfId="42"/>
    <tableColumn id="6" xr3:uid="{5F3EA828-4F94-4129-A7B9-27A5784C1D11}" uniqueName="6" name="MOD/MOS" queryTableFieldId="6" dataDxfId="41"/>
    <tableColumn id="7" xr3:uid="{0E022811-3889-4F2D-BA37-4F0367284027}" uniqueName="7" name="SUPERVISOR" queryTableFieldId="7" dataDxfId="4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9C4A70-3F3B-4DD2-A679-C38E5DFEF06C}" name="TurnSupervisor" displayName="TurnSupervisor" ref="I1:J11" totalsRowShown="0" headerRowDxfId="39" dataDxfId="38" tableBorderDxfId="37">
  <autoFilter ref="I1:J11" xr:uid="{349C4A70-3F3B-4DD2-A679-C38E5DFEF06C}"/>
  <tableColumns count="2">
    <tableColumn id="1" xr3:uid="{FDFE5332-9B2C-4C9B-92A9-7D1158646AFF}" name="TURNO" dataDxfId="36" dataCellStyle="Normal 2"/>
    <tableColumn id="2" xr3:uid="{1D644DE8-1D27-4752-95B8-F2FD89786C2E}" name="SUPERVISORES DE CADA TURN" dataDxfId="35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5595381-B122-4047-88AF-3249F4B54A6A}" name="Define_MOD_MOS8" displayName="Define_MOD_MOS8" ref="L1:M9" totalsRowShown="0" headerRowDxfId="34" dataDxfId="32" headerRowBorderDxfId="33" tableBorderDxfId="31" totalsRowBorderDxfId="30" headerRowCellStyle="Normal 2">
  <autoFilter ref="L1:M9" xr:uid="{15595381-B122-4047-88AF-3249F4B54A6A}"/>
  <tableColumns count="2">
    <tableColumn id="1" xr3:uid="{601471CD-D39B-4DAB-B34B-01C5EEFD1C68}" name="Função" dataDxfId="29" dataCellStyle="Normal 2"/>
    <tableColumn id="2" xr3:uid="{A05CB7E1-F2E3-4139-A151-E8F521D8E071}" name="Mod/Mos" dataDxfId="28" dataCellStyle="Normal 2"/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21387F4-6FF1-45F6-B523-9FC46124D9B6}" name="Solicitações" displayName="Solicitações" ref="A1:R7" tableType="queryTable" totalsRowShown="0" headerRowDxfId="27" dataDxfId="26">
  <autoFilter ref="A1:R7" xr:uid="{121387F4-6FF1-45F6-B523-9FC46124D9B6}"/>
  <tableColumns count="18">
    <tableColumn id="1" xr3:uid="{2038A387-9250-44AF-B734-771831A325C6}" uniqueName="1" name="ID" queryTableFieldId="1" dataDxfId="25"/>
    <tableColumn id="2" xr3:uid="{639DB26F-8C8E-40EC-991C-7288CCC5E513}" uniqueName="2" name="Hora_Ini" queryTableFieldId="2" dataDxfId="24"/>
    <tableColumn id="3" xr3:uid="{B5238A16-1E4F-4DCC-B041-7C735E493C34}" uniqueName="3" name="NOME" queryTableFieldId="3" dataDxfId="23"/>
    <tableColumn id="4" xr3:uid="{240A3CAD-7585-4D28-A4F0-1919E9C9F0D1}" uniqueName="4" name="Area" queryTableFieldId="4" dataDxfId="22"/>
    <tableColumn id="5" xr3:uid="{F7E03D1F-7ECA-4FD9-B325-89D036F40941}" uniqueName="5" name="Posto" queryTableFieldId="5" dataDxfId="21"/>
    <tableColumn id="6" xr3:uid="{AD697850-947F-4167-B301-5017A7B6A042}" uniqueName="6" name="Justif" queryTableFieldId="6" dataDxfId="20"/>
    <tableColumn id="7" xr3:uid="{2374FAD3-FC60-4CD1-8B19-351D00F9B508}" uniqueName="7" name="Impacto" queryTableFieldId="7" dataDxfId="19"/>
    <tableColumn id="8" xr3:uid="{150755D5-2774-49A2-980D-967CB973578A}" uniqueName="8" name="Ganho" queryTableFieldId="8" dataDxfId="18"/>
    <tableColumn id="9" xr3:uid="{82FC7541-198F-43F7-9FB5-484E7ECD5AFF}" uniqueName="9" name="Duração" queryTableFieldId="9" dataDxfId="17"/>
    <tableColumn id="10" xr3:uid="{05FD548D-2845-47E9-9D88-D891039FAF96}" uniqueName="10" name="Origem" queryTableFieldId="10" dataDxfId="16"/>
    <tableColumn id="11" xr3:uid="{8E17A63F-84AD-412F-88A8-89DF62779E3D}" uniqueName="11" name="CC" queryTableFieldId="11" dataDxfId="15"/>
    <tableColumn id="12" xr3:uid="{5B11B184-E130-4013-B511-45188671F747}" uniqueName="12" name="Data_HE" queryTableFieldId="12" dataDxfId="14"/>
    <tableColumn id="13" xr3:uid="{2AB8F77B-EA61-4343-9E18-3C41DD4486BB}" uniqueName="13" name="Criticidade" queryTableFieldId="13" dataDxfId="13"/>
    <tableColumn id="14" xr3:uid="{FB75BDB8-FD30-4B69-BFC9-A7B3A7ECB308}" uniqueName="14" name="Qtdd" queryTableFieldId="14" dataDxfId="12"/>
    <tableColumn id="15" xr3:uid="{D64AE2DF-0B45-4ABF-AA99-C01C044D357D}" uniqueName="15" name="IPN" queryTableFieldId="15" dataDxfId="11"/>
    <tableColumn id="16" xr3:uid="{A14C5557-B405-4E3A-9C13-F3421037CC2E}" uniqueName="16" name="COLABORADOR" queryTableFieldId="16" dataDxfId="10"/>
    <tableColumn id="17" xr3:uid="{421C7AA9-945B-42A0-AB1F-BD69BA91A169}" uniqueName="17" name="Observações" queryTableFieldId="17" dataDxfId="9"/>
    <tableColumn id="18" xr3:uid="{1226799A-471F-4CF5-BD05-AA9B96EF80DB}" uniqueName="18" name="Status" queryTableFieldId="18" dataDxfId="8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1C1B3-18CD-4BD0-999F-3EC12AA6FF81}">
  <sheetPr codeName="Planilha9"/>
  <dimension ref="A1:D9"/>
  <sheetViews>
    <sheetView workbookViewId="0">
      <selection activeCell="C1" sqref="C1"/>
    </sheetView>
  </sheetViews>
  <sheetFormatPr defaultRowHeight="15"/>
  <cols>
    <col min="1" max="1" width="6.7109375" bestFit="1" customWidth="1"/>
    <col min="2" max="2" width="5.28515625" bestFit="1" customWidth="1"/>
    <col min="3" max="3" width="10.7109375" style="25" bestFit="1" customWidth="1"/>
    <col min="4" max="4" width="7.85546875" bestFit="1" customWidth="1"/>
  </cols>
  <sheetData>
    <row r="1" spans="1:4">
      <c r="A1" t="s">
        <v>23</v>
      </c>
      <c r="B1" t="s">
        <v>24</v>
      </c>
      <c r="C1" s="25" t="s">
        <v>8</v>
      </c>
      <c r="D1" t="s">
        <v>25</v>
      </c>
    </row>
    <row r="2" spans="1:4">
      <c r="A2">
        <v>25</v>
      </c>
      <c r="B2" t="s">
        <v>26</v>
      </c>
      <c r="C2" s="25">
        <v>46189</v>
      </c>
      <c r="D2">
        <v>3</v>
      </c>
    </row>
    <row r="3" spans="1:4">
      <c r="A3">
        <v>25</v>
      </c>
      <c r="B3" t="s">
        <v>27</v>
      </c>
      <c r="C3" s="25">
        <v>46190</v>
      </c>
      <c r="D3">
        <v>4</v>
      </c>
    </row>
    <row r="4" spans="1:4">
      <c r="A4">
        <v>25</v>
      </c>
      <c r="B4" t="s">
        <v>28</v>
      </c>
      <c r="C4" s="25">
        <v>46191</v>
      </c>
      <c r="D4">
        <v>5</v>
      </c>
    </row>
    <row r="5" spans="1:4">
      <c r="A5">
        <v>25</v>
      </c>
      <c r="B5" t="s">
        <v>29</v>
      </c>
      <c r="C5" s="25">
        <v>46192</v>
      </c>
      <c r="D5">
        <v>6</v>
      </c>
    </row>
    <row r="6" spans="1:4">
      <c r="A6">
        <v>25</v>
      </c>
      <c r="B6" t="s">
        <v>30</v>
      </c>
      <c r="C6" s="25">
        <v>46193</v>
      </c>
      <c r="D6">
        <v>7</v>
      </c>
    </row>
    <row r="7" spans="1:4">
      <c r="A7">
        <v>25</v>
      </c>
      <c r="B7" t="s">
        <v>31</v>
      </c>
      <c r="C7" s="25">
        <v>46194</v>
      </c>
      <c r="D7">
        <v>1</v>
      </c>
    </row>
    <row r="8" spans="1:4">
      <c r="A8">
        <v>26</v>
      </c>
      <c r="B8" t="s">
        <v>32</v>
      </c>
      <c r="C8" s="25">
        <v>46195</v>
      </c>
      <c r="D8">
        <v>2</v>
      </c>
    </row>
    <row r="9" spans="1:4">
      <c r="A9">
        <v>26</v>
      </c>
      <c r="B9" t="s">
        <v>26</v>
      </c>
      <c r="C9" s="25">
        <v>46196</v>
      </c>
      <c r="D9">
        <v>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44072-ACF0-4855-BD02-7FD171B00E7B}">
  <sheetPr codeName="Planilha2">
    <tabColor rgb="FFFF0000"/>
  </sheetPr>
  <dimension ref="A2:J12"/>
  <sheetViews>
    <sheetView zoomScale="115" zoomScaleNormal="115" workbookViewId="0">
      <selection activeCell="C2" sqref="C2"/>
    </sheetView>
  </sheetViews>
  <sheetFormatPr defaultColWidth="9.140625" defaultRowHeight="15"/>
  <cols>
    <col min="1" max="2" width="8.5703125" style="1" customWidth="1"/>
    <col min="3" max="3" width="13.42578125" style="1" customWidth="1"/>
    <col min="4" max="4" width="8.5703125" style="1" customWidth="1"/>
    <col min="5" max="5" width="2.140625" style="1" customWidth="1"/>
    <col min="6" max="9" width="9.140625" style="1"/>
    <col min="10" max="10" width="11.28515625" style="1" bestFit="1" customWidth="1"/>
    <col min="11" max="16384" width="9.140625" style="1"/>
  </cols>
  <sheetData>
    <row r="2" spans="1:10">
      <c r="A2" s="4"/>
      <c r="B2" s="4" t="s">
        <v>33</v>
      </c>
      <c r="C2" s="5">
        <f ca="1">TODAY() -14</f>
        <v>46198</v>
      </c>
      <c r="D2" s="4">
        <f ca="1">WEEKDAY(C2)</f>
        <v>5</v>
      </c>
      <c r="F2" s="4">
        <v>1</v>
      </c>
      <c r="G2" s="9" t="s">
        <v>34</v>
      </c>
      <c r="J2" s="2"/>
    </row>
    <row r="3" spans="1:10">
      <c r="A3" s="4"/>
      <c r="B3" s="4"/>
      <c r="C3" s="4"/>
      <c r="D3" s="4"/>
      <c r="F3" s="4">
        <v>2</v>
      </c>
      <c r="G3" s="9" t="s">
        <v>35</v>
      </c>
    </row>
    <row r="4" spans="1:10">
      <c r="A4" s="17" t="s">
        <v>23</v>
      </c>
      <c r="B4" s="18" t="s">
        <v>24</v>
      </c>
      <c r="C4" s="19" t="s">
        <v>8</v>
      </c>
      <c r="D4" s="20" t="s">
        <v>25</v>
      </c>
      <c r="F4" s="4">
        <v>3</v>
      </c>
      <c r="G4" s="9" t="s">
        <v>36</v>
      </c>
    </row>
    <row r="5" spans="1:10">
      <c r="A5" s="13">
        <f ca="1">_xlfn.ISOWEEKNUM(C5)</f>
        <v>26</v>
      </c>
      <c r="B5" s="7" t="s">
        <v>26</v>
      </c>
      <c r="C5" s="8">
        <f ca="1">C2-D2+3</f>
        <v>46196</v>
      </c>
      <c r="D5" s="15">
        <f t="shared" ref="D5:D12" ca="1" si="0">WEEKDAY(C5)</f>
        <v>3</v>
      </c>
      <c r="F5" s="4">
        <v>4</v>
      </c>
      <c r="G5" s="9" t="s">
        <v>37</v>
      </c>
    </row>
    <row r="6" spans="1:10">
      <c r="A6" s="13">
        <f t="shared" ref="A6:A12" ca="1" si="1">_xlfn.ISOWEEKNUM(C6)</f>
        <v>26</v>
      </c>
      <c r="B6" s="7" t="s">
        <v>27</v>
      </c>
      <c r="C6" s="8">
        <f t="shared" ref="C6:C12" ca="1" si="2">C5+1</f>
        <v>46197</v>
      </c>
      <c r="D6" s="15">
        <f t="shared" ca="1" si="0"/>
        <v>4</v>
      </c>
      <c r="F6" s="4">
        <v>5</v>
      </c>
      <c r="G6" s="9" t="s">
        <v>38</v>
      </c>
    </row>
    <row r="7" spans="1:10">
      <c r="A7" s="13">
        <f t="shared" ca="1" si="1"/>
        <v>26</v>
      </c>
      <c r="B7" s="7" t="s">
        <v>28</v>
      </c>
      <c r="C7" s="8">
        <f t="shared" ca="1" si="2"/>
        <v>46198</v>
      </c>
      <c r="D7" s="15">
        <f t="shared" ca="1" si="0"/>
        <v>5</v>
      </c>
      <c r="F7" s="4">
        <v>6</v>
      </c>
      <c r="G7" s="9" t="s">
        <v>39</v>
      </c>
    </row>
    <row r="8" spans="1:10">
      <c r="A8" s="13">
        <f t="shared" ca="1" si="1"/>
        <v>26</v>
      </c>
      <c r="B8" s="7" t="s">
        <v>29</v>
      </c>
      <c r="C8" s="8">
        <f t="shared" ca="1" si="2"/>
        <v>46199</v>
      </c>
      <c r="D8" s="15">
        <f t="shared" ca="1" si="0"/>
        <v>6</v>
      </c>
      <c r="F8" s="4">
        <v>7</v>
      </c>
      <c r="G8" s="9" t="s">
        <v>40</v>
      </c>
    </row>
    <row r="9" spans="1:10">
      <c r="A9" s="13">
        <f t="shared" ca="1" si="1"/>
        <v>26</v>
      </c>
      <c r="B9" s="6" t="s">
        <v>30</v>
      </c>
      <c r="C9" s="12">
        <f t="shared" ca="1" si="2"/>
        <v>46200</v>
      </c>
      <c r="D9" s="16">
        <f t="shared" ca="1" si="0"/>
        <v>7</v>
      </c>
      <c r="G9" s="3"/>
    </row>
    <row r="10" spans="1:10">
      <c r="A10" s="13">
        <f t="shared" ca="1" si="1"/>
        <v>26</v>
      </c>
      <c r="B10" s="6" t="s">
        <v>31</v>
      </c>
      <c r="C10" s="12">
        <f t="shared" ca="1" si="2"/>
        <v>46201</v>
      </c>
      <c r="D10" s="16">
        <f t="shared" ca="1" si="0"/>
        <v>1</v>
      </c>
      <c r="G10" s="3"/>
    </row>
    <row r="11" spans="1:10">
      <c r="A11" s="14">
        <f t="shared" ca="1" si="1"/>
        <v>27</v>
      </c>
      <c r="B11" s="7" t="s">
        <v>32</v>
      </c>
      <c r="C11" s="8">
        <f t="shared" ca="1" si="2"/>
        <v>46202</v>
      </c>
      <c r="D11" s="15">
        <f t="shared" ca="1" si="0"/>
        <v>2</v>
      </c>
    </row>
    <row r="12" spans="1:10">
      <c r="A12" s="21">
        <f t="shared" ca="1" si="1"/>
        <v>27</v>
      </c>
      <c r="B12" s="22" t="s">
        <v>26</v>
      </c>
      <c r="C12" s="23">
        <f t="shared" ca="1" si="2"/>
        <v>46203</v>
      </c>
      <c r="D12" s="24">
        <f t="shared" ca="1" si="0"/>
        <v>3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BAE19-9946-4FA7-9D25-D42336554D8D}">
  <sheetPr codeName="Planilha3">
    <tabColor rgb="FF456B69"/>
  </sheetPr>
  <dimension ref="A1:M13"/>
  <sheetViews>
    <sheetView zoomScale="115" zoomScaleNormal="115" workbookViewId="0">
      <selection activeCell="D1" sqref="D1"/>
    </sheetView>
  </sheetViews>
  <sheetFormatPr defaultRowHeight="15"/>
  <cols>
    <col min="1" max="1" width="8.7109375" style="83" bestFit="1" customWidth="1"/>
    <col min="2" max="2" width="17.28515625" style="83" bestFit="1" customWidth="1"/>
    <col min="3" max="3" width="9.7109375" style="83" bestFit="1" customWidth="1"/>
    <col min="4" max="4" width="17.85546875" style="83" bestFit="1" customWidth="1"/>
    <col min="5" max="5" width="10.140625" style="83" bestFit="1" customWidth="1"/>
    <col min="6" max="6" width="13" style="83" bestFit="1" customWidth="1"/>
    <col min="7" max="7" width="14.42578125" style="83" bestFit="1" customWidth="1"/>
    <col min="8" max="8" width="2.28515625" style="83" customWidth="1"/>
    <col min="9" max="9" width="9.7109375" style="83" bestFit="1" customWidth="1"/>
    <col min="10" max="10" width="30.7109375" style="83" bestFit="1" customWidth="1"/>
    <col min="11" max="11" width="2.28515625" style="83" customWidth="1"/>
    <col min="12" max="12" width="17.85546875" style="83" bestFit="1" customWidth="1"/>
    <col min="13" max="13" width="12.140625" style="83" bestFit="1" customWidth="1"/>
    <col min="14" max="16384" width="9.140625" style="83"/>
  </cols>
  <sheetData>
    <row r="1" spans="1:13">
      <c r="A1" s="75" t="s">
        <v>20</v>
      </c>
      <c r="B1" s="75" t="s">
        <v>41</v>
      </c>
      <c r="C1" s="75" t="s">
        <v>21</v>
      </c>
      <c r="D1" s="75" t="s">
        <v>42</v>
      </c>
      <c r="E1" s="75" t="s">
        <v>22</v>
      </c>
      <c r="F1" s="75" t="s">
        <v>43</v>
      </c>
      <c r="G1" s="75" t="s">
        <v>44</v>
      </c>
      <c r="H1" s="76"/>
      <c r="I1" s="76" t="s">
        <v>21</v>
      </c>
      <c r="J1" s="76" t="s">
        <v>45</v>
      </c>
      <c r="K1" s="76"/>
      <c r="L1" s="77" t="s">
        <v>46</v>
      </c>
      <c r="M1" s="78" t="s">
        <v>47</v>
      </c>
    </row>
    <row r="2" spans="1:13">
      <c r="A2" s="83" t="s">
        <v>109</v>
      </c>
      <c r="B2" s="83" t="s">
        <v>110</v>
      </c>
      <c r="C2" s="83" t="s">
        <v>50</v>
      </c>
      <c r="D2" s="83" t="s">
        <v>53</v>
      </c>
      <c r="E2" s="83">
        <v>47000021</v>
      </c>
      <c r="F2" s="76" t="str">
        <f>_xlfn.XLOOKUP(D:D,Define_MOD_MOS8[Função],Define_MOD_MOS8[Mod/Mos],"Não Achou!",0,1)</f>
        <v>MOS</v>
      </c>
      <c r="G2" s="76" t="str">
        <f>_xlfn.XLOOKUP(COLABORADORES[[#This Row],[TURNO]],TurnSupervisor[TURNO],TurnSupervisor[SUPERVISORES DE CADA TURN],"não achou",0.1)</f>
        <v>Supervisor I</v>
      </c>
      <c r="H2" s="76"/>
      <c r="I2" s="79" t="s">
        <v>50</v>
      </c>
      <c r="J2" s="80" t="s">
        <v>123</v>
      </c>
      <c r="K2" s="76"/>
      <c r="L2" s="81" t="s">
        <v>51</v>
      </c>
      <c r="M2" s="82" t="s">
        <v>52</v>
      </c>
    </row>
    <row r="3" spans="1:13">
      <c r="A3" s="83" t="s">
        <v>111</v>
      </c>
      <c r="B3" s="83" t="s">
        <v>112</v>
      </c>
      <c r="C3" s="83" t="s">
        <v>48</v>
      </c>
      <c r="D3" s="83" t="s">
        <v>55</v>
      </c>
      <c r="E3" s="83">
        <v>47000022</v>
      </c>
      <c r="F3" s="76" t="str">
        <f>_xlfn.XLOOKUP(D:D,Define_MOD_MOS8[Função],Define_MOD_MOS8[Mod/Mos],"Não Achou!",0,1)</f>
        <v>MOS</v>
      </c>
      <c r="G3" s="76" t="str">
        <f>_xlfn.XLOOKUP(COLABORADORES[[#This Row],[TURNO]],TurnSupervisor[TURNO],TurnSupervisor[SUPERVISORES DE CADA TURN],"não achou",0.1)</f>
        <v>Supervisor II</v>
      </c>
      <c r="H3" s="76"/>
      <c r="I3" s="79" t="s">
        <v>48</v>
      </c>
      <c r="J3" s="80" t="s">
        <v>124</v>
      </c>
      <c r="K3" s="76"/>
      <c r="L3" s="81" t="s">
        <v>54</v>
      </c>
      <c r="M3" s="82" t="s">
        <v>52</v>
      </c>
    </row>
    <row r="4" spans="1:13">
      <c r="A4" s="83" t="s">
        <v>113</v>
      </c>
      <c r="B4" s="83" t="s">
        <v>114</v>
      </c>
      <c r="C4" s="83" t="s">
        <v>56</v>
      </c>
      <c r="D4" s="83" t="s">
        <v>55</v>
      </c>
      <c r="E4" s="83">
        <v>47000023</v>
      </c>
      <c r="F4" s="76" t="str">
        <f>_xlfn.XLOOKUP(D:D,Define_MOD_MOS8[Função],Define_MOD_MOS8[Mod/Mos],"Não Achou!",0,1)</f>
        <v>MOS</v>
      </c>
      <c r="G4" s="76" t="str">
        <f>_xlfn.XLOOKUP(COLABORADORES[[#This Row],[TURNO]],TurnSupervisor[TURNO],TurnSupervisor[SUPERVISORES DE CADA TURN],"não achou",0.1)</f>
        <v>Supervisor III</v>
      </c>
      <c r="H4" s="76"/>
      <c r="I4" s="79" t="s">
        <v>56</v>
      </c>
      <c r="J4" s="80" t="s">
        <v>125</v>
      </c>
      <c r="K4" s="76"/>
      <c r="L4" s="81" t="s">
        <v>49</v>
      </c>
      <c r="M4" s="82" t="s">
        <v>57</v>
      </c>
    </row>
    <row r="5" spans="1:13">
      <c r="A5" s="83" t="s">
        <v>115</v>
      </c>
      <c r="B5" s="83" t="s">
        <v>116</v>
      </c>
      <c r="C5" s="83" t="s">
        <v>58</v>
      </c>
      <c r="D5" s="83" t="s">
        <v>49</v>
      </c>
      <c r="E5" s="83">
        <v>47000024</v>
      </c>
      <c r="F5" s="76" t="str">
        <f>_xlfn.XLOOKUP(D:D,Define_MOD_MOS8[Função],Define_MOD_MOS8[Mod/Mos],"Não Achou!",0,1)</f>
        <v>MOS</v>
      </c>
      <c r="G5" s="76" t="str">
        <f>_xlfn.XLOOKUP(COLABORADORES[[#This Row],[TURNO]],TurnSupervisor[TURNO],TurnSupervisor[SUPERVISORES DE CADA TURN],"não achou",0.1)</f>
        <v>Supervisor IV</v>
      </c>
      <c r="H5" s="76"/>
      <c r="I5" s="79" t="s">
        <v>58</v>
      </c>
      <c r="J5" s="80" t="s">
        <v>126</v>
      </c>
      <c r="K5" s="76"/>
      <c r="L5" s="81" t="s">
        <v>55</v>
      </c>
      <c r="M5" s="82" t="s">
        <v>57</v>
      </c>
    </row>
    <row r="6" spans="1:13">
      <c r="A6" s="83" t="s">
        <v>117</v>
      </c>
      <c r="B6" s="83" t="s">
        <v>118</v>
      </c>
      <c r="C6" s="83" t="s">
        <v>59</v>
      </c>
      <c r="D6" s="83" t="s">
        <v>51</v>
      </c>
      <c r="E6" s="83">
        <v>47000025</v>
      </c>
      <c r="F6" s="76" t="str">
        <f>_xlfn.XLOOKUP(D:D,Define_MOD_MOS8[Função],Define_MOD_MOS8[Mod/Mos],"Não Achou!",0,1)</f>
        <v>MOD</v>
      </c>
      <c r="G6" s="76" t="str">
        <f>_xlfn.XLOOKUP(COLABORADORES[[#This Row],[TURNO]],TurnSupervisor[TURNO],TurnSupervisor[SUPERVISORES DE CADA TURN],"não achou",0.1)</f>
        <v>Supervisor V</v>
      </c>
      <c r="H6" s="76"/>
      <c r="I6" s="79" t="s">
        <v>59</v>
      </c>
      <c r="J6" s="80" t="s">
        <v>127</v>
      </c>
      <c r="K6" s="76"/>
      <c r="L6" s="81" t="s">
        <v>53</v>
      </c>
      <c r="M6" s="82" t="s">
        <v>57</v>
      </c>
    </row>
    <row r="7" spans="1:13">
      <c r="A7" s="83" t="s">
        <v>119</v>
      </c>
      <c r="B7" s="83" t="s">
        <v>120</v>
      </c>
      <c r="C7" s="83" t="s">
        <v>59</v>
      </c>
      <c r="D7" s="83" t="s">
        <v>61</v>
      </c>
      <c r="E7" s="83">
        <v>47000026</v>
      </c>
      <c r="F7" s="76" t="str">
        <f>_xlfn.XLOOKUP(D:D,Define_MOD_MOS8[Função],Define_MOD_MOS8[Mod/Mos],"Não Achou!",0,1)</f>
        <v>MOS</v>
      </c>
      <c r="G7" s="76" t="str">
        <f>_xlfn.XLOOKUP(COLABORADORES[[#This Row],[TURNO]],TurnSupervisor[TURNO],TurnSupervisor[SUPERVISORES DE CADA TURN],"não achou",0.1)</f>
        <v>Supervisor V</v>
      </c>
      <c r="H7" s="76"/>
      <c r="I7" s="79" t="s">
        <v>60</v>
      </c>
      <c r="J7" s="80" t="s">
        <v>123</v>
      </c>
      <c r="K7" s="76"/>
      <c r="L7" s="81" t="s">
        <v>61</v>
      </c>
      <c r="M7" s="82" t="s">
        <v>57</v>
      </c>
    </row>
    <row r="8" spans="1:13">
      <c r="A8" s="83" t="s">
        <v>121</v>
      </c>
      <c r="B8" s="83" t="s">
        <v>122</v>
      </c>
      <c r="C8" s="83" t="s">
        <v>59</v>
      </c>
      <c r="D8" s="83" t="s">
        <v>63</v>
      </c>
      <c r="E8" s="83">
        <v>47000027</v>
      </c>
      <c r="F8" s="76" t="str">
        <f>_xlfn.XLOOKUP(D:D,Define_MOD_MOS8[Função],Define_MOD_MOS8[Mod/Mos],"Não Achou!",0,1)</f>
        <v>MOD</v>
      </c>
      <c r="G8" s="76" t="str">
        <f>_xlfn.XLOOKUP(COLABORADORES[[#This Row],[TURNO]],TurnSupervisor[TURNO],TurnSupervisor[SUPERVISORES DE CADA TURN],"não achou",0.1)</f>
        <v>Supervisor V</v>
      </c>
      <c r="H8" s="76"/>
      <c r="I8" s="79" t="s">
        <v>62</v>
      </c>
      <c r="J8" s="80" t="s">
        <v>123</v>
      </c>
      <c r="K8" s="76"/>
      <c r="L8" s="81" t="s">
        <v>63</v>
      </c>
      <c r="M8" s="82" t="s">
        <v>52</v>
      </c>
    </row>
    <row r="9" spans="1:13">
      <c r="H9" s="76"/>
      <c r="I9" s="79" t="s">
        <v>64</v>
      </c>
      <c r="J9" s="80" t="s">
        <v>128</v>
      </c>
      <c r="K9" s="76"/>
      <c r="L9" s="84" t="s">
        <v>65</v>
      </c>
      <c r="M9" s="85" t="s">
        <v>57</v>
      </c>
    </row>
    <row r="10" spans="1:13">
      <c r="H10" s="76"/>
      <c r="I10" s="79" t="s">
        <v>66</v>
      </c>
      <c r="J10" s="80" t="s">
        <v>128</v>
      </c>
      <c r="K10" s="76"/>
      <c r="L10" s="76"/>
      <c r="M10" s="76"/>
    </row>
    <row r="11" spans="1:13">
      <c r="F11" s="76"/>
      <c r="G11" s="76"/>
      <c r="H11" s="76"/>
      <c r="I11" s="86" t="s">
        <v>67</v>
      </c>
      <c r="J11" s="87" t="s">
        <v>68</v>
      </c>
      <c r="K11" s="76"/>
      <c r="L11" s="76"/>
      <c r="M11" s="76"/>
    </row>
    <row r="12" spans="1:13">
      <c r="F12" s="76"/>
      <c r="G12" s="76"/>
      <c r="H12" s="76"/>
      <c r="I12" s="76"/>
      <c r="J12" s="76"/>
      <c r="K12" s="76"/>
      <c r="L12" s="76"/>
      <c r="M12" s="76"/>
    </row>
    <row r="13" spans="1:13" ht="30">
      <c r="F13" s="76"/>
      <c r="G13" s="76"/>
      <c r="H13" s="76"/>
      <c r="I13" s="88" t="s">
        <v>69</v>
      </c>
      <c r="J13" s="89" t="s">
        <v>70</v>
      </c>
      <c r="K13" s="76"/>
      <c r="L13" s="76"/>
      <c r="M13" s="76"/>
    </row>
  </sheetData>
  <phoneticPr fontId="2" type="noConversion"/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C8F12-8A1C-42DC-9091-1235EA8A1936}">
  <sheetPr codeName="Planilha10">
    <tabColor rgb="FF0070C0"/>
  </sheetPr>
  <dimension ref="A1:R7"/>
  <sheetViews>
    <sheetView zoomScale="70" zoomScaleNormal="70" workbookViewId="0">
      <selection activeCell="P23" sqref="P23"/>
    </sheetView>
  </sheetViews>
  <sheetFormatPr defaultRowHeight="15"/>
  <cols>
    <col min="1" max="1" width="7.28515625" style="83" bestFit="1" customWidth="1"/>
    <col min="2" max="2" width="18.5703125" style="83" bestFit="1" customWidth="1"/>
    <col min="3" max="3" width="11.7109375" style="83" customWidth="1"/>
    <col min="4" max="4" width="10.28515625" style="83" customWidth="1"/>
    <col min="5" max="5" width="19.7109375" style="83" customWidth="1"/>
    <col min="6" max="6" width="47.7109375" style="83" bestFit="1" customWidth="1"/>
    <col min="7" max="7" width="17.140625" style="83" bestFit="1" customWidth="1"/>
    <col min="8" max="8" width="18.5703125" style="83" bestFit="1" customWidth="1"/>
    <col min="9" max="9" width="14.42578125" style="83" bestFit="1" customWidth="1"/>
    <col min="10" max="10" width="28.5703125" style="83" bestFit="1" customWidth="1"/>
    <col min="11" max="11" width="10.28515625" style="83" customWidth="1"/>
    <col min="12" max="12" width="14.85546875" style="83" bestFit="1" customWidth="1"/>
    <col min="13" max="13" width="19.140625" style="83" bestFit="1" customWidth="1"/>
    <col min="14" max="14" width="10.5703125" style="83" bestFit="1" customWidth="1"/>
    <col min="15" max="15" width="10.140625" style="83" bestFit="1" customWidth="1"/>
    <col min="16" max="16" width="23.5703125" style="83" bestFit="1" customWidth="1"/>
    <col min="17" max="17" width="20" style="83" bestFit="1" customWidth="1"/>
    <col min="18" max="18" width="12.42578125" style="83" bestFit="1" customWidth="1"/>
    <col min="19" max="16384" width="9.140625" style="83"/>
  </cols>
  <sheetData>
    <row r="1" spans="1:18">
      <c r="A1" s="75" t="s">
        <v>71</v>
      </c>
      <c r="B1" s="75" t="s">
        <v>72</v>
      </c>
      <c r="C1" s="75" t="s">
        <v>73</v>
      </c>
      <c r="D1" s="75" t="s">
        <v>74</v>
      </c>
      <c r="E1" s="75" t="s">
        <v>75</v>
      </c>
      <c r="F1" s="75" t="s">
        <v>76</v>
      </c>
      <c r="G1" s="75" t="s">
        <v>77</v>
      </c>
      <c r="H1" s="75" t="s">
        <v>78</v>
      </c>
      <c r="I1" s="75" t="s">
        <v>79</v>
      </c>
      <c r="J1" s="75" t="s">
        <v>80</v>
      </c>
      <c r="K1" s="75" t="s">
        <v>81</v>
      </c>
      <c r="L1" s="75" t="s">
        <v>82</v>
      </c>
      <c r="M1" s="75" t="s">
        <v>83</v>
      </c>
      <c r="N1" s="75" t="s">
        <v>84</v>
      </c>
      <c r="O1" s="75" t="s">
        <v>20</v>
      </c>
      <c r="P1" s="75" t="s">
        <v>41</v>
      </c>
      <c r="Q1" s="75" t="s">
        <v>85</v>
      </c>
      <c r="R1" s="75" t="s">
        <v>86</v>
      </c>
    </row>
    <row r="2" spans="1:18" ht="45">
      <c r="A2" s="83">
        <v>3</v>
      </c>
      <c r="B2" s="90">
        <v>46191.410868055558</v>
      </c>
      <c r="C2" s="83" t="s">
        <v>129</v>
      </c>
      <c r="D2" s="83" t="s">
        <v>130</v>
      </c>
      <c r="E2" s="83" t="s">
        <v>131</v>
      </c>
      <c r="F2" s="83" t="s">
        <v>132</v>
      </c>
      <c r="G2" s="83" t="s">
        <v>133</v>
      </c>
      <c r="H2" s="83" t="s">
        <v>134</v>
      </c>
      <c r="I2" s="83">
        <v>8</v>
      </c>
      <c r="J2" s="83" t="s">
        <v>135</v>
      </c>
      <c r="K2" s="83" t="s">
        <v>136</v>
      </c>
      <c r="L2" s="91">
        <v>46193</v>
      </c>
      <c r="M2" s="83" t="s">
        <v>137</v>
      </c>
      <c r="N2" s="83">
        <v>3</v>
      </c>
      <c r="O2" s="76" t="s">
        <v>160</v>
      </c>
      <c r="P2" s="76" t="s">
        <v>161</v>
      </c>
      <c r="R2" s="83">
        <v>0</v>
      </c>
    </row>
    <row r="3" spans="1:18">
      <c r="A3" s="83">
        <v>4</v>
      </c>
      <c r="B3" s="90">
        <v>46191.413159722222</v>
      </c>
      <c r="C3" s="83" t="s">
        <v>138</v>
      </c>
      <c r="D3" s="83" t="s">
        <v>139</v>
      </c>
      <c r="E3" s="83" t="s">
        <v>140</v>
      </c>
      <c r="F3" s="83" t="s">
        <v>141</v>
      </c>
      <c r="G3" s="83" t="s">
        <v>133</v>
      </c>
      <c r="H3" s="83" t="s">
        <v>134</v>
      </c>
      <c r="I3" s="83">
        <v>8</v>
      </c>
      <c r="J3" s="83" t="s">
        <v>135</v>
      </c>
      <c r="K3" s="83" t="s">
        <v>142</v>
      </c>
      <c r="L3" s="91">
        <v>46193</v>
      </c>
      <c r="M3" s="83" t="s">
        <v>137</v>
      </c>
      <c r="N3" s="83">
        <v>1</v>
      </c>
      <c r="O3" s="76" t="s">
        <v>115</v>
      </c>
      <c r="P3" s="76" t="s">
        <v>116</v>
      </c>
      <c r="R3" s="83">
        <v>0.25</v>
      </c>
    </row>
    <row r="4" spans="1:18">
      <c r="A4" s="83">
        <v>5</v>
      </c>
      <c r="B4" s="90">
        <v>46192.413159664349</v>
      </c>
      <c r="C4" s="83" t="s">
        <v>143</v>
      </c>
      <c r="D4" s="83" t="s">
        <v>144</v>
      </c>
      <c r="E4" s="83" t="s">
        <v>145</v>
      </c>
      <c r="F4" s="83" t="s">
        <v>146</v>
      </c>
      <c r="G4" s="83" t="s">
        <v>133</v>
      </c>
      <c r="H4" s="83" t="s">
        <v>134</v>
      </c>
      <c r="I4" s="83">
        <v>8</v>
      </c>
      <c r="J4" s="83" t="s">
        <v>135</v>
      </c>
      <c r="K4" s="83" t="s">
        <v>147</v>
      </c>
      <c r="L4" s="91">
        <v>46193</v>
      </c>
      <c r="M4" s="83" t="s">
        <v>137</v>
      </c>
      <c r="N4" s="83">
        <v>1</v>
      </c>
      <c r="O4" s="76" t="s">
        <v>117</v>
      </c>
      <c r="P4" s="76" t="s">
        <v>118</v>
      </c>
      <c r="R4" s="83">
        <v>0.5</v>
      </c>
    </row>
    <row r="5" spans="1:18" ht="45">
      <c r="A5" s="83">
        <v>8</v>
      </c>
      <c r="B5" s="90">
        <v>46195.413159664349</v>
      </c>
      <c r="C5" s="83" t="s">
        <v>129</v>
      </c>
      <c r="D5" s="83" t="s">
        <v>148</v>
      </c>
      <c r="E5" s="83" t="s">
        <v>149</v>
      </c>
      <c r="F5" s="83" t="s">
        <v>150</v>
      </c>
      <c r="G5" s="83" t="s">
        <v>133</v>
      </c>
      <c r="H5" s="83" t="s">
        <v>134</v>
      </c>
      <c r="I5" s="83">
        <v>8</v>
      </c>
      <c r="J5" s="83" t="s">
        <v>135</v>
      </c>
      <c r="K5" s="83" t="s">
        <v>151</v>
      </c>
      <c r="L5" s="91">
        <v>46194</v>
      </c>
      <c r="M5" s="83" t="s">
        <v>137</v>
      </c>
      <c r="N5" s="83">
        <v>3</v>
      </c>
      <c r="O5" s="76" t="s">
        <v>160</v>
      </c>
      <c r="P5" s="76" t="s">
        <v>161</v>
      </c>
      <c r="R5" s="83">
        <v>0</v>
      </c>
    </row>
    <row r="6" spans="1:18">
      <c r="A6" s="83">
        <v>9</v>
      </c>
      <c r="B6" s="90">
        <v>46196.413159664349</v>
      </c>
      <c r="C6" s="83" t="s">
        <v>138</v>
      </c>
      <c r="D6" s="83" t="s">
        <v>152</v>
      </c>
      <c r="E6" s="83" t="s">
        <v>153</v>
      </c>
      <c r="F6" s="83" t="s">
        <v>154</v>
      </c>
      <c r="G6" s="83" t="s">
        <v>133</v>
      </c>
      <c r="H6" s="83" t="s">
        <v>134</v>
      </c>
      <c r="I6" s="83">
        <v>8</v>
      </c>
      <c r="J6" s="83" t="s">
        <v>135</v>
      </c>
      <c r="K6" s="83" t="s">
        <v>155</v>
      </c>
      <c r="L6" s="91">
        <v>46194</v>
      </c>
      <c r="M6" s="83" t="s">
        <v>137</v>
      </c>
      <c r="N6" s="83">
        <v>1</v>
      </c>
      <c r="O6" s="76" t="s">
        <v>115</v>
      </c>
      <c r="P6" s="76" t="s">
        <v>116</v>
      </c>
      <c r="R6" s="83">
        <v>0.25</v>
      </c>
    </row>
    <row r="7" spans="1:18">
      <c r="A7" s="83">
        <v>10</v>
      </c>
      <c r="B7" s="90">
        <v>46197.413159664349</v>
      </c>
      <c r="C7" s="83" t="s">
        <v>143</v>
      </c>
      <c r="D7" s="83" t="s">
        <v>156</v>
      </c>
      <c r="E7" s="83" t="s">
        <v>157</v>
      </c>
      <c r="F7" s="83" t="s">
        <v>158</v>
      </c>
      <c r="G7" s="83" t="s">
        <v>133</v>
      </c>
      <c r="H7" s="83" t="s">
        <v>134</v>
      </c>
      <c r="I7" s="83">
        <v>8</v>
      </c>
      <c r="J7" s="83" t="s">
        <v>135</v>
      </c>
      <c r="K7" s="83" t="s">
        <v>159</v>
      </c>
      <c r="L7" s="91">
        <v>46194</v>
      </c>
      <c r="M7" s="83" t="s">
        <v>137</v>
      </c>
      <c r="N7" s="83">
        <v>1</v>
      </c>
      <c r="O7" s="76" t="s">
        <v>117</v>
      </c>
      <c r="P7" s="76" t="s">
        <v>118</v>
      </c>
      <c r="R7" s="83">
        <v>0.5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5D478-0BF9-4E8E-8260-A21B25B1E28C}">
  <sheetPr codeName="Planilha5">
    <tabColor rgb="FFFFC000"/>
  </sheetPr>
  <dimension ref="A1:AE242"/>
  <sheetViews>
    <sheetView zoomScale="70" zoomScaleNormal="70" workbookViewId="0">
      <selection sqref="A1:AE91"/>
    </sheetView>
  </sheetViews>
  <sheetFormatPr defaultColWidth="15.140625" defaultRowHeight="15"/>
  <cols>
    <col min="1" max="1" width="15.28515625" style="26" bestFit="1" customWidth="1"/>
    <col min="2" max="2" width="17.28515625" style="26" bestFit="1" customWidth="1"/>
    <col min="3" max="3" width="19.7109375" style="26" customWidth="1"/>
    <col min="4" max="4" width="96.42578125" style="26" bestFit="1" customWidth="1"/>
    <col min="5" max="5" width="29.28515625" style="26" customWidth="1"/>
    <col min="6" max="6" width="31.5703125" style="26" bestFit="1" customWidth="1"/>
    <col min="7" max="7" width="13.140625" style="26" bestFit="1" customWidth="1"/>
    <col min="8" max="8" width="17.140625" style="26" bestFit="1" customWidth="1"/>
    <col min="9" max="9" width="12.140625" style="26" bestFit="1" customWidth="1"/>
    <col min="10" max="10" width="14.42578125" style="26" bestFit="1" customWidth="1"/>
    <col min="11" max="11" width="21.5703125" style="26" bestFit="1" customWidth="1"/>
    <col min="12" max="13" width="12.5703125" style="26" bestFit="1" customWidth="1"/>
    <col min="14" max="14" width="12" style="26" bestFit="1" customWidth="1"/>
    <col min="15" max="16" width="12.42578125" style="26" bestFit="1" customWidth="1"/>
    <col min="17" max="17" width="17.7109375" style="26" bestFit="1" customWidth="1"/>
    <col min="18" max="18" width="34" style="26" bestFit="1" customWidth="1"/>
    <col min="19" max="19" width="28.140625" style="26" bestFit="1" customWidth="1"/>
    <col min="20" max="20" width="18.140625" style="26" bestFit="1" customWidth="1"/>
    <col min="21" max="21" width="19.5703125" style="26" bestFit="1" customWidth="1"/>
    <col min="22" max="22" width="14" style="26" bestFit="1" customWidth="1"/>
    <col min="23" max="23" width="11.5703125" style="26" bestFit="1" customWidth="1"/>
    <col min="24" max="24" width="11.42578125" style="26" customWidth="1"/>
    <col min="25" max="26" width="34.28515625" style="26" bestFit="1" customWidth="1"/>
    <col min="27" max="27" width="13" style="26" bestFit="1" customWidth="1"/>
    <col min="28" max="28" width="12.42578125" style="26" bestFit="1" customWidth="1"/>
    <col min="29" max="16384" width="15.140625" style="26"/>
  </cols>
  <sheetData>
    <row r="1" spans="1:31" ht="46.5" customHeight="1">
      <c r="A1" s="69" t="s">
        <v>0</v>
      </c>
      <c r="B1" s="70" t="s">
        <v>1</v>
      </c>
      <c r="C1" s="70" t="s">
        <v>2</v>
      </c>
      <c r="D1" s="70" t="s">
        <v>3</v>
      </c>
      <c r="E1" s="70" t="s">
        <v>4</v>
      </c>
      <c r="F1" s="70" t="s">
        <v>5</v>
      </c>
      <c r="G1" s="70" t="s">
        <v>6</v>
      </c>
      <c r="H1" s="70" t="s">
        <v>7</v>
      </c>
      <c r="I1" s="70" t="s">
        <v>81</v>
      </c>
      <c r="J1" s="70" t="s">
        <v>8</v>
      </c>
      <c r="K1" s="70" t="s">
        <v>9</v>
      </c>
      <c r="L1" s="71" t="s">
        <v>10</v>
      </c>
      <c r="M1" s="71" t="s">
        <v>11</v>
      </c>
      <c r="N1" s="71" t="s">
        <v>12</v>
      </c>
      <c r="O1" s="72" t="s">
        <v>13</v>
      </c>
      <c r="P1" s="72" t="s">
        <v>14</v>
      </c>
      <c r="Q1" s="72" t="s">
        <v>15</v>
      </c>
      <c r="R1" s="70" t="s">
        <v>16</v>
      </c>
      <c r="S1" s="70" t="s">
        <v>108</v>
      </c>
      <c r="T1" s="70" t="s">
        <v>17</v>
      </c>
      <c r="U1" s="70" t="s">
        <v>18</v>
      </c>
      <c r="V1" s="70" t="s">
        <v>19</v>
      </c>
      <c r="W1" s="70" t="s">
        <v>90</v>
      </c>
      <c r="X1" s="73" t="s">
        <v>91</v>
      </c>
      <c r="Y1" s="70" t="s">
        <v>92</v>
      </c>
      <c r="Z1" s="70" t="s">
        <v>93</v>
      </c>
      <c r="AA1" s="70" t="s">
        <v>21</v>
      </c>
      <c r="AB1" s="74" t="s">
        <v>22</v>
      </c>
      <c r="AD1" s="49" t="s">
        <v>94</v>
      </c>
    </row>
    <row r="2" spans="1:31" ht="63" customHeight="1">
      <c r="A2" s="63" t="s">
        <v>129</v>
      </c>
      <c r="B2" s="63" t="s">
        <v>148</v>
      </c>
      <c r="C2" s="63" t="s">
        <v>149</v>
      </c>
      <c r="D2" s="63" t="s">
        <v>150</v>
      </c>
      <c r="E2" s="63" t="s">
        <v>133</v>
      </c>
      <c r="F2" s="63" t="s">
        <v>134</v>
      </c>
      <c r="G2" s="63">
        <v>8</v>
      </c>
      <c r="H2" s="63" t="s">
        <v>135</v>
      </c>
      <c r="I2" s="64" t="s">
        <v>151</v>
      </c>
      <c r="J2" s="65"/>
      <c r="K2" s="63"/>
      <c r="L2" s="66"/>
      <c r="M2" s="66"/>
      <c r="N2" s="63"/>
      <c r="O2" s="67"/>
      <c r="P2" s="67"/>
      <c r="Q2" s="68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D2" s="26" t="s">
        <v>107</v>
      </c>
    </row>
    <row r="3" spans="1:31" ht="63" customHeight="1">
      <c r="A3" s="63" t="s">
        <v>138</v>
      </c>
      <c r="B3" s="27" t="s">
        <v>152</v>
      </c>
      <c r="C3" s="27" t="s">
        <v>153</v>
      </c>
      <c r="D3" s="27" t="s">
        <v>154</v>
      </c>
      <c r="E3" s="27" t="s">
        <v>133</v>
      </c>
      <c r="F3" s="27" t="s">
        <v>134</v>
      </c>
      <c r="G3" s="27">
        <v>8</v>
      </c>
      <c r="H3" s="27" t="s">
        <v>135</v>
      </c>
      <c r="I3" s="28" t="s">
        <v>155</v>
      </c>
      <c r="J3" s="29"/>
      <c r="K3" s="27"/>
      <c r="L3" s="30"/>
      <c r="M3" s="30"/>
      <c r="N3" s="27"/>
      <c r="O3" s="31"/>
      <c r="P3" s="31"/>
      <c r="Q3" s="32"/>
      <c r="R3" s="27"/>
      <c r="S3" s="27"/>
      <c r="T3" s="27"/>
      <c r="U3" s="27"/>
      <c r="V3" s="27"/>
      <c r="W3" s="27" t="str">
        <f>IF(X3="","",LEN(X3)-LEN(SUBSTITUTE(X3,CHAR(10),""))+1)</f>
        <v/>
      </c>
      <c r="X3" s="27"/>
      <c r="Y3" s="27"/>
      <c r="Z3" s="27"/>
      <c r="AA3" s="27"/>
      <c r="AB3" s="27"/>
    </row>
    <row r="4" spans="1:31" ht="63" customHeight="1">
      <c r="A4" s="63" t="s">
        <v>143</v>
      </c>
      <c r="B4" s="27" t="s">
        <v>156</v>
      </c>
      <c r="C4" s="27" t="s">
        <v>157</v>
      </c>
      <c r="D4" s="27" t="s">
        <v>158</v>
      </c>
      <c r="E4" s="27" t="s">
        <v>133</v>
      </c>
      <c r="F4" s="27" t="s">
        <v>134</v>
      </c>
      <c r="G4" s="27">
        <v>8</v>
      </c>
      <c r="H4" s="27" t="s">
        <v>135</v>
      </c>
      <c r="I4" s="28" t="s">
        <v>159</v>
      </c>
      <c r="J4" s="29"/>
      <c r="K4" s="27"/>
      <c r="L4" s="30"/>
      <c r="M4" s="30"/>
      <c r="N4" s="27"/>
      <c r="O4" s="31"/>
      <c r="P4" s="31"/>
      <c r="Q4" s="32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</row>
    <row r="5" spans="1:31" ht="63" customHeight="1">
      <c r="A5" s="63" t="s">
        <v>129</v>
      </c>
      <c r="B5" s="27" t="s">
        <v>148</v>
      </c>
      <c r="C5" s="27" t="s">
        <v>149</v>
      </c>
      <c r="D5" s="27" t="s">
        <v>150</v>
      </c>
      <c r="E5" s="27" t="s">
        <v>133</v>
      </c>
      <c r="F5" s="27" t="s">
        <v>134</v>
      </c>
      <c r="G5" s="27">
        <v>8</v>
      </c>
      <c r="H5" s="27" t="s">
        <v>135</v>
      </c>
      <c r="I5" s="28" t="s">
        <v>151</v>
      </c>
      <c r="J5" s="29"/>
      <c r="K5" s="27"/>
      <c r="L5" s="30"/>
      <c r="M5" s="30"/>
      <c r="N5" s="27"/>
      <c r="O5" s="31"/>
      <c r="P5" s="31"/>
      <c r="Q5" s="32"/>
      <c r="R5" s="27"/>
      <c r="S5" s="27"/>
      <c r="T5" s="27"/>
      <c r="U5" s="27"/>
      <c r="V5" s="27"/>
      <c r="W5" s="27" t="str">
        <f t="shared" ref="W5:W7" si="0">IF(X5="","",LEN(X5)-LEN(SUBSTITUTE(X5,CHAR(10),""))+1)</f>
        <v/>
      </c>
      <c r="X5" s="27"/>
      <c r="Y5" s="27"/>
      <c r="Z5" s="27"/>
      <c r="AA5" s="27"/>
      <c r="AB5" s="27"/>
    </row>
    <row r="6" spans="1:31" ht="63" customHeight="1">
      <c r="A6" s="63" t="s">
        <v>138</v>
      </c>
      <c r="B6" s="27" t="s">
        <v>152</v>
      </c>
      <c r="C6" s="27" t="s">
        <v>153</v>
      </c>
      <c r="D6" s="27" t="s">
        <v>154</v>
      </c>
      <c r="E6" s="27" t="s">
        <v>133</v>
      </c>
      <c r="F6" s="27" t="s">
        <v>134</v>
      </c>
      <c r="G6" s="27">
        <v>8</v>
      </c>
      <c r="H6" s="27" t="s">
        <v>135</v>
      </c>
      <c r="I6" s="28" t="s">
        <v>155</v>
      </c>
      <c r="J6" s="29"/>
      <c r="K6" s="27"/>
      <c r="L6" s="30"/>
      <c r="M6" s="30"/>
      <c r="N6" s="27"/>
      <c r="O6" s="31"/>
      <c r="P6" s="31"/>
      <c r="Q6" s="32"/>
      <c r="R6" s="27"/>
      <c r="S6" s="27"/>
      <c r="T6" s="27"/>
      <c r="U6" s="27"/>
      <c r="V6" s="27"/>
      <c r="W6" s="27" t="str">
        <f t="shared" si="0"/>
        <v/>
      </c>
      <c r="X6" s="27"/>
      <c r="Y6" s="27"/>
      <c r="Z6" s="27"/>
      <c r="AA6" s="27"/>
      <c r="AB6" s="27"/>
    </row>
    <row r="7" spans="1:31" ht="63" customHeight="1">
      <c r="A7" s="63" t="s">
        <v>143</v>
      </c>
      <c r="B7" s="27" t="s">
        <v>156</v>
      </c>
      <c r="C7" s="27" t="s">
        <v>157</v>
      </c>
      <c r="D7" s="27" t="s">
        <v>158</v>
      </c>
      <c r="E7" s="27" t="s">
        <v>133</v>
      </c>
      <c r="F7" s="27" t="s">
        <v>134</v>
      </c>
      <c r="G7" s="27">
        <v>8</v>
      </c>
      <c r="H7" s="27" t="s">
        <v>135</v>
      </c>
      <c r="I7" s="28" t="s">
        <v>159</v>
      </c>
      <c r="J7" s="29"/>
      <c r="K7" s="27"/>
      <c r="L7" s="30"/>
      <c r="M7" s="30"/>
      <c r="N7" s="27"/>
      <c r="O7" s="31"/>
      <c r="P7" s="31"/>
      <c r="Q7" s="32"/>
      <c r="R7" s="27"/>
      <c r="S7" s="27"/>
      <c r="T7" s="27"/>
      <c r="U7" s="27"/>
      <c r="V7" s="27"/>
      <c r="W7" s="27" t="str">
        <f t="shared" si="0"/>
        <v/>
      </c>
      <c r="X7" s="27"/>
      <c r="Y7" s="27"/>
      <c r="Z7" s="27"/>
      <c r="AA7" s="27"/>
      <c r="AB7" s="27"/>
    </row>
    <row r="8" spans="1:31" s="51" customFormat="1" ht="63" customHeight="1">
      <c r="A8" s="63" t="s">
        <v>138</v>
      </c>
      <c r="B8" s="27" t="s">
        <v>152</v>
      </c>
      <c r="C8" s="27" t="s">
        <v>153</v>
      </c>
      <c r="D8" s="27" t="s">
        <v>154</v>
      </c>
      <c r="E8" s="27" t="s">
        <v>133</v>
      </c>
      <c r="F8" s="27" t="s">
        <v>134</v>
      </c>
      <c r="G8" s="27">
        <v>8</v>
      </c>
      <c r="H8" s="27" t="s">
        <v>135</v>
      </c>
      <c r="I8" s="28" t="s">
        <v>155</v>
      </c>
      <c r="J8" s="29"/>
      <c r="K8" s="27"/>
      <c r="L8" s="30"/>
      <c r="M8" s="30"/>
      <c r="N8" s="27"/>
      <c r="O8" s="31"/>
      <c r="P8" s="31"/>
      <c r="Q8" s="32"/>
      <c r="R8" s="27"/>
      <c r="S8" s="27"/>
      <c r="T8" s="27"/>
      <c r="U8" s="27"/>
      <c r="V8" s="27"/>
      <c r="W8" s="27" t="s">
        <v>162</v>
      </c>
      <c r="X8" s="27"/>
      <c r="Y8" s="27"/>
      <c r="Z8" s="27"/>
      <c r="AA8" s="27"/>
      <c r="AB8" s="27"/>
      <c r="AC8" s="26"/>
      <c r="AD8" s="26"/>
      <c r="AE8" s="26"/>
    </row>
    <row r="9" spans="1:31" s="51" customFormat="1" ht="63" customHeight="1">
      <c r="A9" s="27" t="s">
        <v>138</v>
      </c>
      <c r="B9" s="27" t="s">
        <v>152</v>
      </c>
      <c r="C9" s="27" t="s">
        <v>153</v>
      </c>
      <c r="D9" s="27" t="s">
        <v>154</v>
      </c>
      <c r="E9" s="52" t="s">
        <v>133</v>
      </c>
      <c r="F9" s="27" t="s">
        <v>134</v>
      </c>
      <c r="G9" s="27">
        <v>8</v>
      </c>
      <c r="H9" s="27" t="s">
        <v>135</v>
      </c>
      <c r="I9" s="28" t="s">
        <v>155</v>
      </c>
      <c r="J9" s="29"/>
      <c r="K9" s="27"/>
      <c r="L9" s="30"/>
      <c r="M9" s="30"/>
      <c r="N9" s="27"/>
      <c r="O9" s="54"/>
      <c r="P9" s="31"/>
      <c r="Q9" s="32"/>
      <c r="R9" s="27"/>
      <c r="S9" s="27"/>
      <c r="T9" s="27"/>
      <c r="U9" s="27"/>
      <c r="V9" s="27"/>
      <c r="W9" s="27" t="s">
        <v>162</v>
      </c>
      <c r="X9" s="27"/>
      <c r="Y9" s="27"/>
      <c r="Z9" s="27"/>
      <c r="AA9" s="52"/>
      <c r="AB9" s="27"/>
      <c r="AC9" s="26"/>
      <c r="AD9" s="26"/>
      <c r="AE9" s="26"/>
    </row>
    <row r="10" spans="1:31" s="51" customFormat="1" ht="63" customHeight="1">
      <c r="A10" s="53"/>
      <c r="B10" s="53"/>
      <c r="C10" s="53"/>
      <c r="D10" s="53"/>
      <c r="E10" s="53"/>
      <c r="F10" s="53"/>
      <c r="G10" s="53"/>
      <c r="H10" s="55"/>
      <c r="I10" s="56"/>
      <c r="J10" s="57"/>
      <c r="K10" s="53"/>
      <c r="L10" s="53"/>
      <c r="M10" s="53"/>
      <c r="N10" s="58"/>
      <c r="O10" s="53"/>
      <c r="P10" s="53"/>
      <c r="Q10" s="59"/>
      <c r="R10" s="60"/>
      <c r="S10" s="61"/>
      <c r="T10" s="61"/>
      <c r="U10" s="53"/>
      <c r="V10" s="62"/>
      <c r="W10" s="53"/>
      <c r="X10" s="53"/>
      <c r="Y10" s="53"/>
      <c r="Z10" s="53"/>
      <c r="AA10" s="53"/>
      <c r="AB10" s="53"/>
      <c r="AC10" s="26"/>
      <c r="AD10" s="50"/>
      <c r="AE10" s="26"/>
    </row>
    <row r="11" spans="1:31" s="51" customFormat="1" ht="63" customHeight="1">
      <c r="A11" s="33"/>
      <c r="B11" s="33"/>
      <c r="C11" s="33"/>
      <c r="D11" s="33"/>
      <c r="E11" s="33"/>
      <c r="F11" s="33"/>
      <c r="G11" s="33"/>
      <c r="H11" s="34"/>
      <c r="I11" s="35"/>
      <c r="J11" s="36"/>
      <c r="K11" s="33"/>
      <c r="L11" s="33"/>
      <c r="M11" s="33"/>
      <c r="N11" s="37"/>
      <c r="O11" s="33"/>
      <c r="P11" s="33"/>
      <c r="Q11" s="38"/>
      <c r="R11" s="39"/>
      <c r="S11" s="40"/>
      <c r="T11" s="40"/>
      <c r="U11" s="33"/>
      <c r="V11" s="41"/>
      <c r="W11" s="33"/>
      <c r="X11" s="33"/>
      <c r="Y11" s="33"/>
      <c r="Z11" s="33"/>
      <c r="AA11" s="33"/>
      <c r="AB11" s="33"/>
      <c r="AC11" s="26"/>
      <c r="AD11" s="50"/>
      <c r="AE11" s="26"/>
    </row>
    <row r="12" spans="1:31" s="51" customFormat="1" ht="63" customHeight="1">
      <c r="A12" s="33"/>
      <c r="B12" s="33"/>
      <c r="C12" s="33"/>
      <c r="D12" s="33"/>
      <c r="E12" s="33"/>
      <c r="F12" s="33"/>
      <c r="G12" s="33"/>
      <c r="H12" s="34"/>
      <c r="I12" s="35"/>
      <c r="J12" s="36"/>
      <c r="K12" s="33"/>
      <c r="L12" s="33"/>
      <c r="M12" s="33"/>
      <c r="N12" s="37"/>
      <c r="O12" s="33"/>
      <c r="P12" s="33"/>
      <c r="Q12" s="38"/>
      <c r="R12" s="39"/>
      <c r="S12" s="40"/>
      <c r="T12" s="40"/>
      <c r="U12" s="33"/>
      <c r="V12" s="41"/>
      <c r="W12" s="33"/>
      <c r="X12" s="33"/>
      <c r="Y12" s="33"/>
      <c r="Z12" s="33"/>
      <c r="AA12" s="33"/>
      <c r="AB12" s="33"/>
      <c r="AC12" s="26"/>
      <c r="AD12" s="50"/>
      <c r="AE12" s="26"/>
    </row>
    <row r="13" spans="1:31" s="51" customFormat="1" ht="63" customHeight="1">
      <c r="A13" s="33"/>
      <c r="B13" s="33"/>
      <c r="C13" s="33"/>
      <c r="D13" s="33"/>
      <c r="E13" s="33"/>
      <c r="F13" s="33"/>
      <c r="G13" s="33"/>
      <c r="H13" s="34"/>
      <c r="I13" s="35"/>
      <c r="J13" s="36"/>
      <c r="K13" s="33"/>
      <c r="L13" s="33"/>
      <c r="M13" s="33"/>
      <c r="N13" s="37"/>
      <c r="O13" s="33"/>
      <c r="P13" s="33"/>
      <c r="Q13" s="38"/>
      <c r="R13" s="39"/>
      <c r="S13" s="40"/>
      <c r="T13" s="40"/>
      <c r="U13" s="33"/>
      <c r="V13" s="41"/>
      <c r="W13" s="33"/>
      <c r="X13" s="33"/>
      <c r="Y13" s="33"/>
      <c r="Z13" s="33"/>
      <c r="AA13" s="33"/>
      <c r="AB13" s="33"/>
      <c r="AC13" s="26"/>
      <c r="AD13" s="50"/>
      <c r="AE13" s="26"/>
    </row>
    <row r="14" spans="1:31" s="51" customFormat="1" ht="63" customHeight="1">
      <c r="A14" s="33"/>
      <c r="B14" s="33"/>
      <c r="C14" s="33"/>
      <c r="D14" s="33"/>
      <c r="E14" s="33"/>
      <c r="F14" s="33"/>
      <c r="G14" s="33"/>
      <c r="H14" s="34"/>
      <c r="I14" s="35"/>
      <c r="J14" s="36"/>
      <c r="K14" s="33"/>
      <c r="L14" s="33"/>
      <c r="M14" s="33"/>
      <c r="N14" s="37"/>
      <c r="O14" s="33"/>
      <c r="P14" s="33"/>
      <c r="Q14" s="38"/>
      <c r="R14" s="39"/>
      <c r="S14" s="40"/>
      <c r="T14" s="40"/>
      <c r="U14" s="33"/>
      <c r="V14" s="41"/>
      <c r="W14" s="33"/>
      <c r="X14" s="33"/>
      <c r="Y14" s="33"/>
      <c r="Z14" s="33"/>
      <c r="AA14" s="33"/>
      <c r="AB14" s="33"/>
      <c r="AC14" s="26"/>
      <c r="AD14" s="50"/>
      <c r="AE14" s="26"/>
    </row>
    <row r="15" spans="1:31" s="51" customFormat="1" ht="63" customHeight="1">
      <c r="A15" s="33"/>
      <c r="B15" s="33"/>
      <c r="C15" s="33"/>
      <c r="D15" s="33"/>
      <c r="E15" s="33"/>
      <c r="F15" s="33"/>
      <c r="G15" s="33"/>
      <c r="H15" s="34"/>
      <c r="I15" s="35"/>
      <c r="J15" s="36"/>
      <c r="K15" s="33"/>
      <c r="L15" s="33"/>
      <c r="M15" s="33"/>
      <c r="N15" s="37"/>
      <c r="O15" s="33"/>
      <c r="P15" s="33"/>
      <c r="Q15" s="38"/>
      <c r="R15" s="39"/>
      <c r="S15" s="40"/>
      <c r="T15" s="40"/>
      <c r="U15" s="33"/>
      <c r="V15" s="41"/>
      <c r="W15" s="33"/>
      <c r="X15" s="33"/>
      <c r="Y15" s="33"/>
      <c r="Z15" s="33"/>
      <c r="AA15" s="33"/>
      <c r="AB15" s="33"/>
      <c r="AC15" s="26"/>
      <c r="AD15" s="50"/>
      <c r="AE15" s="26"/>
    </row>
    <row r="16" spans="1:31" s="51" customFormat="1" ht="63" customHeight="1">
      <c r="A16" s="33"/>
      <c r="B16" s="33"/>
      <c r="C16" s="33"/>
      <c r="D16" s="33"/>
      <c r="E16" s="33"/>
      <c r="F16" s="33"/>
      <c r="G16" s="33"/>
      <c r="H16" s="34"/>
      <c r="I16" s="35"/>
      <c r="J16" s="36"/>
      <c r="K16" s="33"/>
      <c r="L16" s="33"/>
      <c r="M16" s="33"/>
      <c r="N16" s="37"/>
      <c r="O16" s="33"/>
      <c r="P16" s="33"/>
      <c r="Q16" s="38"/>
      <c r="R16" s="39"/>
      <c r="S16" s="40"/>
      <c r="T16" s="40"/>
      <c r="U16" s="33"/>
      <c r="V16" s="41"/>
      <c r="W16" s="33"/>
      <c r="X16" s="33"/>
      <c r="Y16" s="33"/>
      <c r="Z16" s="33"/>
      <c r="AA16" s="33"/>
      <c r="AB16" s="33"/>
      <c r="AC16" s="26"/>
      <c r="AD16" s="50"/>
      <c r="AE16" s="26"/>
    </row>
    <row r="17" spans="1:31" s="51" customFormat="1" ht="63" customHeight="1">
      <c r="A17" s="33"/>
      <c r="B17" s="33"/>
      <c r="C17" s="33"/>
      <c r="D17" s="33"/>
      <c r="E17" s="33"/>
      <c r="F17" s="33"/>
      <c r="G17" s="33"/>
      <c r="H17" s="34"/>
      <c r="I17" s="35"/>
      <c r="J17" s="36"/>
      <c r="K17" s="33"/>
      <c r="L17" s="33"/>
      <c r="M17" s="33"/>
      <c r="N17" s="37"/>
      <c r="O17" s="33"/>
      <c r="P17" s="33"/>
      <c r="Q17" s="38"/>
      <c r="R17" s="39"/>
      <c r="S17" s="40"/>
      <c r="T17" s="40"/>
      <c r="U17" s="33"/>
      <c r="V17" s="41"/>
      <c r="W17" s="33"/>
      <c r="X17" s="33"/>
      <c r="Y17" s="33"/>
      <c r="Z17" s="33"/>
      <c r="AA17" s="33"/>
      <c r="AB17" s="33"/>
      <c r="AC17" s="26"/>
      <c r="AD17" s="50"/>
      <c r="AE17" s="26"/>
    </row>
    <row r="18" spans="1:31" s="51" customFormat="1" ht="63" customHeight="1">
      <c r="A18" s="33"/>
      <c r="B18" s="33"/>
      <c r="C18" s="33"/>
      <c r="D18" s="33"/>
      <c r="E18" s="33"/>
      <c r="F18" s="33"/>
      <c r="G18" s="33"/>
      <c r="H18" s="34"/>
      <c r="I18" s="35"/>
      <c r="J18" s="36"/>
      <c r="K18" s="33"/>
      <c r="L18" s="33"/>
      <c r="M18" s="33"/>
      <c r="N18" s="37"/>
      <c r="O18" s="33"/>
      <c r="P18" s="33"/>
      <c r="Q18" s="38"/>
      <c r="R18" s="39"/>
      <c r="S18" s="40"/>
      <c r="T18" s="40"/>
      <c r="U18" s="33"/>
      <c r="V18" s="41"/>
      <c r="W18" s="33"/>
      <c r="X18" s="33"/>
      <c r="Y18" s="33"/>
      <c r="Z18" s="33"/>
      <c r="AA18" s="33"/>
      <c r="AB18" s="33"/>
      <c r="AC18" s="26"/>
      <c r="AD18" s="50"/>
      <c r="AE18" s="26"/>
    </row>
    <row r="19" spans="1:31" s="51" customFormat="1" ht="63" customHeight="1">
      <c r="A19" s="33"/>
      <c r="B19" s="33"/>
      <c r="C19" s="33"/>
      <c r="D19" s="33"/>
      <c r="E19" s="33"/>
      <c r="F19" s="33"/>
      <c r="G19" s="33"/>
      <c r="H19" s="34"/>
      <c r="I19" s="35"/>
      <c r="J19" s="36"/>
      <c r="K19" s="33"/>
      <c r="L19" s="33"/>
      <c r="M19" s="33"/>
      <c r="N19" s="37"/>
      <c r="O19" s="33"/>
      <c r="P19" s="33"/>
      <c r="Q19" s="38"/>
      <c r="R19" s="39"/>
      <c r="S19" s="40"/>
      <c r="T19" s="40"/>
      <c r="U19" s="33"/>
      <c r="V19" s="41"/>
      <c r="W19" s="33"/>
      <c r="X19" s="33"/>
      <c r="Y19" s="33"/>
      <c r="Z19" s="33"/>
      <c r="AA19" s="33"/>
      <c r="AB19" s="33"/>
      <c r="AC19" s="26"/>
      <c r="AD19" s="50"/>
      <c r="AE19" s="26"/>
    </row>
    <row r="20" spans="1:31" s="51" customFormat="1" ht="63" customHeight="1">
      <c r="A20" s="33"/>
      <c r="B20" s="33"/>
      <c r="C20" s="33"/>
      <c r="D20" s="33"/>
      <c r="E20" s="33"/>
      <c r="F20" s="33"/>
      <c r="G20" s="33"/>
      <c r="H20" s="34"/>
      <c r="I20" s="35"/>
      <c r="J20" s="36"/>
      <c r="K20" s="33"/>
      <c r="L20" s="33"/>
      <c r="M20" s="33"/>
      <c r="N20" s="37"/>
      <c r="O20" s="33"/>
      <c r="P20" s="33"/>
      <c r="Q20" s="38"/>
      <c r="R20" s="39"/>
      <c r="S20" s="40"/>
      <c r="T20" s="40"/>
      <c r="U20" s="33"/>
      <c r="V20" s="41"/>
      <c r="W20" s="33"/>
      <c r="X20" s="33"/>
      <c r="Y20" s="33"/>
      <c r="Z20" s="33"/>
      <c r="AA20" s="33"/>
      <c r="AB20" s="33"/>
      <c r="AC20" s="26"/>
      <c r="AD20" s="50"/>
      <c r="AE20" s="26"/>
    </row>
    <row r="21" spans="1:31" s="51" customFormat="1" ht="63" customHeight="1">
      <c r="A21" s="33"/>
      <c r="B21" s="33"/>
      <c r="C21" s="33"/>
      <c r="D21" s="33"/>
      <c r="E21" s="33"/>
      <c r="F21" s="33"/>
      <c r="G21" s="33"/>
      <c r="H21" s="34"/>
      <c r="I21" s="35"/>
      <c r="J21" s="36"/>
      <c r="K21" s="33"/>
      <c r="L21" s="33"/>
      <c r="M21" s="33"/>
      <c r="N21" s="37"/>
      <c r="O21" s="33"/>
      <c r="P21" s="33"/>
      <c r="Q21" s="38"/>
      <c r="R21" s="39"/>
      <c r="S21" s="40"/>
      <c r="T21" s="40"/>
      <c r="U21" s="33"/>
      <c r="V21" s="41"/>
      <c r="W21" s="33"/>
      <c r="X21" s="33"/>
      <c r="Y21" s="33"/>
      <c r="Z21" s="33"/>
      <c r="AA21" s="33"/>
      <c r="AB21" s="33"/>
      <c r="AC21" s="26"/>
      <c r="AD21" s="50"/>
      <c r="AE21" s="26"/>
    </row>
    <row r="22" spans="1:31" s="51" customFormat="1" ht="63" customHeight="1">
      <c r="A22" s="33"/>
      <c r="B22" s="33"/>
      <c r="C22" s="33"/>
      <c r="D22" s="33"/>
      <c r="E22" s="33"/>
      <c r="F22" s="33"/>
      <c r="G22" s="33"/>
      <c r="H22" s="34"/>
      <c r="I22" s="35"/>
      <c r="J22" s="36"/>
      <c r="K22" s="33"/>
      <c r="L22" s="33"/>
      <c r="M22" s="33"/>
      <c r="N22" s="37"/>
      <c r="O22" s="33"/>
      <c r="P22" s="33"/>
      <c r="Q22" s="38"/>
      <c r="R22" s="39"/>
      <c r="S22" s="40"/>
      <c r="T22" s="40"/>
      <c r="U22" s="33"/>
      <c r="V22" s="41"/>
      <c r="W22" s="33"/>
      <c r="X22" s="33"/>
      <c r="Y22" s="33"/>
      <c r="Z22" s="33"/>
      <c r="AA22" s="33"/>
      <c r="AB22" s="33"/>
      <c r="AC22" s="26"/>
      <c r="AD22" s="50"/>
      <c r="AE22" s="26"/>
    </row>
    <row r="23" spans="1:31" s="51" customFormat="1" ht="63" customHeight="1">
      <c r="A23" s="33"/>
      <c r="B23" s="33"/>
      <c r="C23" s="33"/>
      <c r="D23" s="33"/>
      <c r="E23" s="33"/>
      <c r="F23" s="33"/>
      <c r="G23" s="33"/>
      <c r="H23" s="34"/>
      <c r="I23" s="35"/>
      <c r="J23" s="36"/>
      <c r="K23" s="33"/>
      <c r="L23" s="33"/>
      <c r="M23" s="33"/>
      <c r="N23" s="37"/>
      <c r="O23" s="33"/>
      <c r="P23" s="33"/>
      <c r="Q23" s="38"/>
      <c r="R23" s="39"/>
      <c r="S23" s="40"/>
      <c r="T23" s="40"/>
      <c r="U23" s="33"/>
      <c r="V23" s="41"/>
      <c r="W23" s="33"/>
      <c r="X23" s="33"/>
      <c r="Y23" s="33"/>
      <c r="Z23" s="33"/>
      <c r="AA23" s="33"/>
      <c r="AB23" s="33"/>
      <c r="AC23" s="26"/>
      <c r="AD23" s="50"/>
      <c r="AE23" s="26"/>
    </row>
    <row r="24" spans="1:31" s="51" customFormat="1" ht="63" customHeight="1">
      <c r="A24" s="33"/>
      <c r="B24" s="33"/>
      <c r="C24" s="33"/>
      <c r="D24" s="33"/>
      <c r="E24" s="33"/>
      <c r="F24" s="33"/>
      <c r="G24" s="33"/>
      <c r="H24" s="34"/>
      <c r="I24" s="35"/>
      <c r="J24" s="36"/>
      <c r="K24" s="33"/>
      <c r="L24" s="33"/>
      <c r="M24" s="33"/>
      <c r="N24" s="37"/>
      <c r="O24" s="33"/>
      <c r="P24" s="33"/>
      <c r="Q24" s="38"/>
      <c r="R24" s="39"/>
      <c r="S24" s="40"/>
      <c r="T24" s="40"/>
      <c r="U24" s="33"/>
      <c r="V24" s="41"/>
      <c r="W24" s="33"/>
      <c r="X24" s="33"/>
      <c r="Y24" s="33"/>
      <c r="Z24" s="33"/>
      <c r="AA24" s="33"/>
      <c r="AB24" s="33"/>
      <c r="AC24" s="26"/>
      <c r="AD24" s="50"/>
      <c r="AE24" s="26"/>
    </row>
    <row r="25" spans="1:31" s="51" customFormat="1" ht="63" customHeight="1">
      <c r="A25" s="33"/>
      <c r="B25" s="33"/>
      <c r="C25" s="33"/>
      <c r="D25" s="33"/>
      <c r="E25" s="33"/>
      <c r="F25" s="33"/>
      <c r="G25" s="33"/>
      <c r="H25" s="34"/>
      <c r="I25" s="35"/>
      <c r="J25" s="36"/>
      <c r="K25" s="33"/>
      <c r="L25" s="33"/>
      <c r="M25" s="33"/>
      <c r="N25" s="37"/>
      <c r="O25" s="33"/>
      <c r="P25" s="33"/>
      <c r="Q25" s="38"/>
      <c r="R25" s="39"/>
      <c r="S25" s="40"/>
      <c r="T25" s="40"/>
      <c r="U25" s="33"/>
      <c r="V25" s="41"/>
      <c r="W25" s="33"/>
      <c r="X25" s="33"/>
      <c r="Y25" s="33"/>
      <c r="Z25" s="33"/>
      <c r="AA25" s="33"/>
      <c r="AB25" s="33"/>
      <c r="AC25" s="26"/>
      <c r="AD25" s="50"/>
      <c r="AE25" s="26"/>
    </row>
    <row r="26" spans="1:31" s="51" customFormat="1" ht="63" customHeight="1">
      <c r="A26" s="33"/>
      <c r="B26" s="33"/>
      <c r="C26" s="33"/>
      <c r="D26" s="33"/>
      <c r="E26" s="33"/>
      <c r="F26" s="33"/>
      <c r="G26" s="33"/>
      <c r="H26" s="34"/>
      <c r="I26" s="35"/>
      <c r="J26" s="36"/>
      <c r="K26" s="33"/>
      <c r="L26" s="33"/>
      <c r="M26" s="33"/>
      <c r="N26" s="37"/>
      <c r="O26" s="33"/>
      <c r="P26" s="33"/>
      <c r="Q26" s="38"/>
      <c r="R26" s="39"/>
      <c r="S26" s="40"/>
      <c r="T26" s="40"/>
      <c r="U26" s="33"/>
      <c r="V26" s="41"/>
      <c r="W26" s="33"/>
      <c r="X26" s="33"/>
      <c r="Y26" s="33"/>
      <c r="Z26" s="33"/>
      <c r="AA26" s="33"/>
      <c r="AB26" s="33"/>
      <c r="AC26" s="26"/>
      <c r="AD26" s="50"/>
      <c r="AE26" s="26"/>
    </row>
    <row r="27" spans="1:31" s="51" customFormat="1" ht="63" customHeight="1">
      <c r="A27" s="33"/>
      <c r="B27" s="33"/>
      <c r="C27" s="33"/>
      <c r="D27" s="33"/>
      <c r="E27" s="33"/>
      <c r="F27" s="33"/>
      <c r="G27" s="33"/>
      <c r="H27" s="34"/>
      <c r="I27" s="35"/>
      <c r="J27" s="36"/>
      <c r="K27" s="33"/>
      <c r="L27" s="33"/>
      <c r="M27" s="33"/>
      <c r="N27" s="37"/>
      <c r="O27" s="33"/>
      <c r="P27" s="33"/>
      <c r="Q27" s="38"/>
      <c r="R27" s="39"/>
      <c r="S27" s="40"/>
      <c r="T27" s="40"/>
      <c r="U27" s="33"/>
      <c r="V27" s="41"/>
      <c r="W27" s="33"/>
      <c r="X27" s="33"/>
      <c r="Y27" s="33"/>
      <c r="Z27" s="33"/>
      <c r="AA27" s="33"/>
      <c r="AB27" s="33"/>
      <c r="AC27" s="26"/>
      <c r="AD27" s="50"/>
      <c r="AE27" s="26"/>
    </row>
    <row r="28" spans="1:31" s="51" customFormat="1" ht="63" customHeight="1">
      <c r="A28" s="33"/>
      <c r="B28" s="33"/>
      <c r="C28" s="33"/>
      <c r="D28" s="33"/>
      <c r="E28" s="33"/>
      <c r="F28" s="33"/>
      <c r="G28" s="33"/>
      <c r="H28" s="34"/>
      <c r="I28" s="35"/>
      <c r="J28" s="36"/>
      <c r="K28" s="33"/>
      <c r="L28" s="33"/>
      <c r="M28" s="33"/>
      <c r="N28" s="37"/>
      <c r="O28" s="33"/>
      <c r="P28" s="33"/>
      <c r="Q28" s="38"/>
      <c r="R28" s="39"/>
      <c r="S28" s="40"/>
      <c r="T28" s="40"/>
      <c r="U28" s="33"/>
      <c r="V28" s="41"/>
      <c r="W28" s="33"/>
      <c r="X28" s="33"/>
      <c r="Y28" s="33"/>
      <c r="Z28" s="33"/>
      <c r="AA28" s="33"/>
      <c r="AB28" s="33"/>
      <c r="AC28" s="26"/>
      <c r="AD28" s="50"/>
      <c r="AE28" s="26"/>
    </row>
    <row r="29" spans="1:31" s="51" customFormat="1" ht="63" customHeight="1">
      <c r="A29" s="33"/>
      <c r="B29" s="33"/>
      <c r="C29" s="33"/>
      <c r="D29" s="33"/>
      <c r="E29" s="33"/>
      <c r="F29" s="33"/>
      <c r="G29" s="33"/>
      <c r="H29" s="34"/>
      <c r="I29" s="35"/>
      <c r="J29" s="36"/>
      <c r="K29" s="33"/>
      <c r="L29" s="33"/>
      <c r="M29" s="33"/>
      <c r="N29" s="37"/>
      <c r="O29" s="33"/>
      <c r="P29" s="33"/>
      <c r="Q29" s="38"/>
      <c r="R29" s="39"/>
      <c r="S29" s="40"/>
      <c r="T29" s="40"/>
      <c r="U29" s="33"/>
      <c r="V29" s="41"/>
      <c r="W29" s="33"/>
      <c r="X29" s="33"/>
      <c r="Y29" s="33"/>
      <c r="Z29" s="33"/>
      <c r="AA29" s="33"/>
      <c r="AB29" s="33"/>
      <c r="AC29" s="26"/>
      <c r="AD29" s="50"/>
      <c r="AE29" s="26"/>
    </row>
    <row r="30" spans="1:31" s="51" customFormat="1" ht="63" customHeight="1">
      <c r="A30" s="33"/>
      <c r="B30" s="33"/>
      <c r="C30" s="33"/>
      <c r="D30" s="33"/>
      <c r="E30" s="33"/>
      <c r="F30" s="33"/>
      <c r="G30" s="33"/>
      <c r="H30" s="34"/>
      <c r="I30" s="35"/>
      <c r="J30" s="36"/>
      <c r="K30" s="33"/>
      <c r="L30" s="33"/>
      <c r="M30" s="33"/>
      <c r="N30" s="37"/>
      <c r="O30" s="33"/>
      <c r="P30" s="33"/>
      <c r="Q30" s="38"/>
      <c r="R30" s="39"/>
      <c r="S30" s="40"/>
      <c r="T30" s="40"/>
      <c r="U30" s="33"/>
      <c r="V30" s="41"/>
      <c r="W30" s="33"/>
      <c r="X30" s="33"/>
      <c r="Y30" s="33"/>
      <c r="Z30" s="33"/>
      <c r="AA30" s="33"/>
      <c r="AB30" s="33"/>
      <c r="AC30" s="26"/>
      <c r="AD30" s="50"/>
      <c r="AE30" s="26"/>
    </row>
    <row r="31" spans="1:31" s="51" customFormat="1" ht="63" customHeight="1">
      <c r="A31" s="33"/>
      <c r="B31" s="33"/>
      <c r="C31" s="33"/>
      <c r="D31" s="33"/>
      <c r="E31" s="33"/>
      <c r="F31" s="33"/>
      <c r="G31" s="33"/>
      <c r="H31" s="34"/>
      <c r="I31" s="35"/>
      <c r="J31" s="36"/>
      <c r="K31" s="33"/>
      <c r="L31" s="33"/>
      <c r="M31" s="33"/>
      <c r="N31" s="37"/>
      <c r="O31" s="33"/>
      <c r="P31" s="33"/>
      <c r="Q31" s="38"/>
      <c r="R31" s="39"/>
      <c r="S31" s="40"/>
      <c r="T31" s="40"/>
      <c r="U31" s="33"/>
      <c r="V31" s="41"/>
      <c r="W31" s="33"/>
      <c r="X31" s="33"/>
      <c r="Y31" s="33"/>
      <c r="Z31" s="33"/>
      <c r="AA31" s="33"/>
      <c r="AB31" s="33"/>
      <c r="AC31" s="26"/>
      <c r="AD31" s="50"/>
      <c r="AE31" s="26"/>
    </row>
    <row r="32" spans="1:31" s="51" customFormat="1" ht="63" customHeight="1">
      <c r="A32" s="33"/>
      <c r="B32" s="33"/>
      <c r="C32" s="33"/>
      <c r="D32" s="33"/>
      <c r="E32" s="33"/>
      <c r="F32" s="33"/>
      <c r="G32" s="33"/>
      <c r="H32" s="34"/>
      <c r="I32" s="35"/>
      <c r="J32" s="36"/>
      <c r="K32" s="33"/>
      <c r="L32" s="33"/>
      <c r="M32" s="33"/>
      <c r="N32" s="37"/>
      <c r="O32" s="33"/>
      <c r="P32" s="33"/>
      <c r="Q32" s="38"/>
      <c r="R32" s="39"/>
      <c r="S32" s="40"/>
      <c r="T32" s="40"/>
      <c r="U32" s="33"/>
      <c r="V32" s="41"/>
      <c r="W32" s="33"/>
      <c r="X32" s="33"/>
      <c r="Y32" s="33"/>
      <c r="Z32" s="33"/>
      <c r="AA32" s="33"/>
      <c r="AB32" s="33"/>
      <c r="AC32" s="26"/>
      <c r="AD32" s="50"/>
      <c r="AE32" s="26"/>
    </row>
    <row r="33" spans="1:31" s="51" customFormat="1" ht="63" customHeight="1">
      <c r="A33" s="33"/>
      <c r="B33" s="33"/>
      <c r="C33" s="33"/>
      <c r="D33" s="33"/>
      <c r="E33" s="33"/>
      <c r="F33" s="33"/>
      <c r="G33" s="33"/>
      <c r="H33" s="34"/>
      <c r="I33" s="35"/>
      <c r="J33" s="36"/>
      <c r="K33" s="33"/>
      <c r="L33" s="33"/>
      <c r="M33" s="33"/>
      <c r="N33" s="37"/>
      <c r="O33" s="33"/>
      <c r="P33" s="33"/>
      <c r="Q33" s="38"/>
      <c r="R33" s="39"/>
      <c r="S33" s="40"/>
      <c r="T33" s="40"/>
      <c r="U33" s="33"/>
      <c r="V33" s="41"/>
      <c r="W33" s="33"/>
      <c r="X33" s="33"/>
      <c r="Y33" s="33"/>
      <c r="Z33" s="33"/>
      <c r="AA33" s="33"/>
      <c r="AB33" s="33"/>
      <c r="AC33" s="26"/>
      <c r="AD33" s="50"/>
      <c r="AE33" s="26"/>
    </row>
    <row r="34" spans="1:31" s="51" customFormat="1" ht="63" customHeight="1">
      <c r="A34" s="33"/>
      <c r="B34" s="33"/>
      <c r="C34" s="33"/>
      <c r="D34" s="33"/>
      <c r="E34" s="33"/>
      <c r="F34" s="33"/>
      <c r="G34" s="33"/>
      <c r="H34" s="34"/>
      <c r="I34" s="35"/>
      <c r="J34" s="36"/>
      <c r="K34" s="33"/>
      <c r="L34" s="33"/>
      <c r="M34" s="33"/>
      <c r="N34" s="37"/>
      <c r="O34" s="33"/>
      <c r="P34" s="33"/>
      <c r="Q34" s="38"/>
      <c r="R34" s="39"/>
      <c r="S34" s="40"/>
      <c r="T34" s="40"/>
      <c r="U34" s="33"/>
      <c r="V34" s="41"/>
      <c r="W34" s="33"/>
      <c r="X34" s="33"/>
      <c r="Y34" s="33"/>
      <c r="Z34" s="33"/>
      <c r="AA34" s="33"/>
      <c r="AB34" s="33"/>
      <c r="AC34" s="26"/>
      <c r="AD34" s="50"/>
      <c r="AE34" s="26"/>
    </row>
    <row r="35" spans="1:31" s="51" customFormat="1" ht="63" customHeight="1">
      <c r="A35" s="33"/>
      <c r="B35" s="33"/>
      <c r="C35" s="33"/>
      <c r="D35" s="33"/>
      <c r="E35" s="33"/>
      <c r="F35" s="33"/>
      <c r="G35" s="33"/>
      <c r="H35" s="34"/>
      <c r="I35" s="35"/>
      <c r="J35" s="36"/>
      <c r="K35" s="33"/>
      <c r="L35" s="33"/>
      <c r="M35" s="33"/>
      <c r="N35" s="37"/>
      <c r="O35" s="33"/>
      <c r="P35" s="33"/>
      <c r="Q35" s="38"/>
      <c r="R35" s="39"/>
      <c r="S35" s="40"/>
      <c r="T35" s="40"/>
      <c r="U35" s="33"/>
      <c r="V35" s="41"/>
      <c r="W35" s="33"/>
      <c r="X35" s="33"/>
      <c r="Y35" s="33"/>
      <c r="Z35" s="33"/>
      <c r="AA35" s="33"/>
      <c r="AB35" s="33"/>
      <c r="AC35" s="26"/>
      <c r="AD35" s="50"/>
      <c r="AE35" s="26"/>
    </row>
    <row r="36" spans="1:31" s="51" customFormat="1" ht="63" customHeight="1">
      <c r="A36" s="33"/>
      <c r="B36" s="33"/>
      <c r="C36" s="33"/>
      <c r="D36" s="33"/>
      <c r="E36" s="33"/>
      <c r="F36" s="33"/>
      <c r="G36" s="33"/>
      <c r="H36" s="34"/>
      <c r="I36" s="35"/>
      <c r="J36" s="36"/>
      <c r="K36" s="33"/>
      <c r="L36" s="33"/>
      <c r="M36" s="33"/>
      <c r="N36" s="37"/>
      <c r="O36" s="33"/>
      <c r="P36" s="33"/>
      <c r="Q36" s="38"/>
      <c r="R36" s="39"/>
      <c r="S36" s="40"/>
      <c r="T36" s="40"/>
      <c r="U36" s="33"/>
      <c r="V36" s="41"/>
      <c r="W36" s="33"/>
      <c r="X36" s="33"/>
      <c r="Y36" s="33"/>
      <c r="Z36" s="33"/>
      <c r="AA36" s="33"/>
      <c r="AB36" s="33"/>
      <c r="AC36" s="26"/>
      <c r="AD36" s="50"/>
      <c r="AE36" s="26"/>
    </row>
    <row r="37" spans="1:31" s="51" customFormat="1" ht="63" customHeight="1">
      <c r="A37" s="33"/>
      <c r="B37" s="33"/>
      <c r="C37" s="33"/>
      <c r="D37" s="33"/>
      <c r="E37" s="33"/>
      <c r="F37" s="33"/>
      <c r="G37" s="33"/>
      <c r="H37" s="34"/>
      <c r="I37" s="35"/>
      <c r="J37" s="36"/>
      <c r="K37" s="33"/>
      <c r="L37" s="33"/>
      <c r="M37" s="33"/>
      <c r="N37" s="37"/>
      <c r="O37" s="33"/>
      <c r="P37" s="33"/>
      <c r="Q37" s="38"/>
      <c r="R37" s="39"/>
      <c r="S37" s="40"/>
      <c r="T37" s="40"/>
      <c r="U37" s="33"/>
      <c r="V37" s="41"/>
      <c r="W37" s="33"/>
      <c r="X37" s="33"/>
      <c r="Y37" s="33"/>
      <c r="Z37" s="33"/>
      <c r="AA37" s="33"/>
      <c r="AB37" s="33"/>
      <c r="AC37" s="26"/>
      <c r="AD37" s="50"/>
      <c r="AE37" s="26"/>
    </row>
    <row r="38" spans="1:31" s="51" customFormat="1" ht="63" customHeight="1">
      <c r="A38" s="33"/>
      <c r="B38" s="33"/>
      <c r="C38" s="33"/>
      <c r="D38" s="33"/>
      <c r="E38" s="33"/>
      <c r="F38" s="33"/>
      <c r="G38" s="33"/>
      <c r="H38" s="34"/>
      <c r="I38" s="35"/>
      <c r="J38" s="36"/>
      <c r="K38" s="33"/>
      <c r="L38" s="33"/>
      <c r="M38" s="33"/>
      <c r="N38" s="37"/>
      <c r="O38" s="33"/>
      <c r="P38" s="33"/>
      <c r="Q38" s="38"/>
      <c r="R38" s="39"/>
      <c r="S38" s="40"/>
      <c r="T38" s="40"/>
      <c r="U38" s="33"/>
      <c r="V38" s="41"/>
      <c r="W38" s="33"/>
      <c r="X38" s="33"/>
      <c r="Y38" s="33"/>
      <c r="Z38" s="33"/>
      <c r="AA38" s="33"/>
      <c r="AB38" s="33"/>
      <c r="AC38" s="26"/>
      <c r="AD38" s="50"/>
      <c r="AE38" s="26"/>
    </row>
    <row r="39" spans="1:31" s="51" customFormat="1" ht="63" customHeight="1">
      <c r="A39" s="33"/>
      <c r="B39" s="33"/>
      <c r="C39" s="33"/>
      <c r="D39" s="33"/>
      <c r="E39" s="33"/>
      <c r="F39" s="33"/>
      <c r="G39" s="33"/>
      <c r="H39" s="34"/>
      <c r="I39" s="35"/>
      <c r="J39" s="36"/>
      <c r="K39" s="33"/>
      <c r="L39" s="33"/>
      <c r="M39" s="33"/>
      <c r="N39" s="37"/>
      <c r="O39" s="33"/>
      <c r="P39" s="33"/>
      <c r="Q39" s="38"/>
      <c r="R39" s="39"/>
      <c r="S39" s="40"/>
      <c r="T39" s="40"/>
      <c r="U39" s="33"/>
      <c r="V39" s="41"/>
      <c r="W39" s="33"/>
      <c r="X39" s="33"/>
      <c r="Y39" s="33"/>
      <c r="Z39" s="33"/>
      <c r="AA39" s="33"/>
      <c r="AB39" s="33"/>
      <c r="AC39" s="26"/>
      <c r="AD39" s="50"/>
      <c r="AE39" s="26"/>
    </row>
    <row r="40" spans="1:31" s="51" customFormat="1" ht="63" customHeight="1">
      <c r="A40" s="33"/>
      <c r="B40" s="33"/>
      <c r="C40" s="33"/>
      <c r="D40" s="33"/>
      <c r="E40" s="33"/>
      <c r="F40" s="33"/>
      <c r="G40" s="33"/>
      <c r="H40" s="34"/>
      <c r="I40" s="35"/>
      <c r="J40" s="36"/>
      <c r="K40" s="33"/>
      <c r="L40" s="33"/>
      <c r="M40" s="33"/>
      <c r="N40" s="37"/>
      <c r="O40" s="33"/>
      <c r="P40" s="33"/>
      <c r="Q40" s="38"/>
      <c r="R40" s="39"/>
      <c r="S40" s="40"/>
      <c r="T40" s="40"/>
      <c r="U40" s="33"/>
      <c r="V40" s="41"/>
      <c r="W40" s="33"/>
      <c r="X40" s="33"/>
      <c r="Y40" s="33"/>
      <c r="Z40" s="33"/>
      <c r="AA40" s="33"/>
      <c r="AB40" s="33"/>
      <c r="AC40" s="26"/>
      <c r="AD40" s="50"/>
      <c r="AE40" s="26"/>
    </row>
    <row r="41" spans="1:31" s="51" customFormat="1" ht="63" customHeight="1">
      <c r="A41" s="33"/>
      <c r="B41" s="33"/>
      <c r="C41" s="33"/>
      <c r="D41" s="33"/>
      <c r="E41" s="33"/>
      <c r="F41" s="33"/>
      <c r="G41" s="33"/>
      <c r="H41" s="34"/>
      <c r="I41" s="35"/>
      <c r="J41" s="36"/>
      <c r="K41" s="33"/>
      <c r="L41" s="33"/>
      <c r="M41" s="33"/>
      <c r="N41" s="37"/>
      <c r="O41" s="33"/>
      <c r="P41" s="33"/>
      <c r="Q41" s="38"/>
      <c r="R41" s="39"/>
      <c r="S41" s="40"/>
      <c r="T41" s="40"/>
      <c r="U41" s="33"/>
      <c r="V41" s="41"/>
      <c r="W41" s="33"/>
      <c r="X41" s="33"/>
      <c r="Y41" s="33"/>
      <c r="Z41" s="33"/>
      <c r="AA41" s="33"/>
      <c r="AB41" s="33"/>
      <c r="AC41" s="26"/>
      <c r="AD41" s="50"/>
      <c r="AE41" s="26"/>
    </row>
    <row r="42" spans="1:31" s="51" customFormat="1" ht="63" customHeight="1">
      <c r="A42" s="33"/>
      <c r="B42" s="33"/>
      <c r="C42" s="33"/>
      <c r="D42" s="33"/>
      <c r="E42" s="33"/>
      <c r="F42" s="33"/>
      <c r="G42" s="33"/>
      <c r="H42" s="34"/>
      <c r="I42" s="35"/>
      <c r="J42" s="36"/>
      <c r="K42" s="33"/>
      <c r="L42" s="33"/>
      <c r="M42" s="33"/>
      <c r="N42" s="37"/>
      <c r="O42" s="33"/>
      <c r="P42" s="33"/>
      <c r="Q42" s="38"/>
      <c r="R42" s="39"/>
      <c r="S42" s="40"/>
      <c r="T42" s="40"/>
      <c r="U42" s="33"/>
      <c r="V42" s="41"/>
      <c r="W42" s="33"/>
      <c r="X42" s="33"/>
      <c r="Y42" s="33"/>
      <c r="Z42" s="33"/>
      <c r="AA42" s="33"/>
      <c r="AB42" s="33"/>
      <c r="AC42" s="26"/>
      <c r="AD42" s="50"/>
      <c r="AE42" s="26"/>
    </row>
    <row r="43" spans="1:31" s="51" customFormat="1" ht="63" customHeight="1">
      <c r="A43" s="33"/>
      <c r="B43" s="33"/>
      <c r="C43" s="33"/>
      <c r="D43" s="33"/>
      <c r="E43" s="33"/>
      <c r="F43" s="33"/>
      <c r="G43" s="33"/>
      <c r="H43" s="34"/>
      <c r="I43" s="35"/>
      <c r="J43" s="36"/>
      <c r="K43" s="33"/>
      <c r="L43" s="33"/>
      <c r="M43" s="33"/>
      <c r="N43" s="37"/>
      <c r="O43" s="33"/>
      <c r="P43" s="33"/>
      <c r="Q43" s="38"/>
      <c r="R43" s="39"/>
      <c r="S43" s="40"/>
      <c r="T43" s="40"/>
      <c r="U43" s="33"/>
      <c r="V43" s="41"/>
      <c r="W43" s="33"/>
      <c r="X43" s="33"/>
      <c r="Y43" s="33"/>
      <c r="Z43" s="33"/>
      <c r="AA43" s="33"/>
      <c r="AB43" s="33"/>
      <c r="AC43" s="26"/>
      <c r="AD43" s="50"/>
      <c r="AE43" s="26"/>
    </row>
    <row r="44" spans="1:31" s="51" customFormat="1" ht="63" customHeight="1">
      <c r="A44" s="33"/>
      <c r="B44" s="33"/>
      <c r="C44" s="33"/>
      <c r="D44" s="33"/>
      <c r="E44" s="33"/>
      <c r="F44" s="33"/>
      <c r="G44" s="33"/>
      <c r="H44" s="34"/>
      <c r="I44" s="35"/>
      <c r="J44" s="36"/>
      <c r="K44" s="33"/>
      <c r="L44" s="33"/>
      <c r="M44" s="33"/>
      <c r="N44" s="37"/>
      <c r="O44" s="33"/>
      <c r="P44" s="33"/>
      <c r="Q44" s="38"/>
      <c r="R44" s="39"/>
      <c r="S44" s="40"/>
      <c r="T44" s="40"/>
      <c r="U44" s="33"/>
      <c r="V44" s="41"/>
      <c r="W44" s="33"/>
      <c r="X44" s="33"/>
      <c r="Y44" s="33"/>
      <c r="Z44" s="33"/>
      <c r="AA44" s="33"/>
      <c r="AB44" s="33"/>
      <c r="AC44" s="26"/>
      <c r="AD44" s="50"/>
      <c r="AE44" s="26"/>
    </row>
    <row r="45" spans="1:31" s="51" customFormat="1" ht="63" customHeight="1">
      <c r="A45" s="33"/>
      <c r="B45" s="33"/>
      <c r="C45" s="33"/>
      <c r="D45" s="33"/>
      <c r="E45" s="33"/>
      <c r="F45" s="33"/>
      <c r="G45" s="33"/>
      <c r="H45" s="34"/>
      <c r="I45" s="35"/>
      <c r="J45" s="36"/>
      <c r="K45" s="33"/>
      <c r="L45" s="33"/>
      <c r="M45" s="33"/>
      <c r="N45" s="37"/>
      <c r="O45" s="33"/>
      <c r="P45" s="33"/>
      <c r="Q45" s="38"/>
      <c r="R45" s="39"/>
      <c r="S45" s="40"/>
      <c r="T45" s="40"/>
      <c r="U45" s="33"/>
      <c r="V45" s="41"/>
      <c r="W45" s="33"/>
      <c r="X45" s="33"/>
      <c r="Y45" s="33"/>
      <c r="Z45" s="33"/>
      <c r="AA45" s="33"/>
      <c r="AB45" s="33"/>
      <c r="AC45" s="26"/>
      <c r="AD45" s="50"/>
      <c r="AE45" s="26"/>
    </row>
    <row r="46" spans="1:31" s="51" customFormat="1" ht="63" customHeight="1">
      <c r="A46" s="33"/>
      <c r="B46" s="33"/>
      <c r="C46" s="33"/>
      <c r="D46" s="33"/>
      <c r="E46" s="33"/>
      <c r="F46" s="33"/>
      <c r="G46" s="33"/>
      <c r="H46" s="34"/>
      <c r="I46" s="35"/>
      <c r="J46" s="36"/>
      <c r="K46" s="33"/>
      <c r="L46" s="33"/>
      <c r="M46" s="33"/>
      <c r="N46" s="37"/>
      <c r="O46" s="33"/>
      <c r="P46" s="33"/>
      <c r="Q46" s="38"/>
      <c r="R46" s="39"/>
      <c r="S46" s="40"/>
      <c r="T46" s="40"/>
      <c r="U46" s="33"/>
      <c r="V46" s="41"/>
      <c r="W46" s="33"/>
      <c r="X46" s="33"/>
      <c r="Y46" s="33"/>
      <c r="Z46" s="33"/>
      <c r="AA46" s="33"/>
      <c r="AB46" s="33"/>
      <c r="AC46" s="26"/>
      <c r="AD46" s="50"/>
      <c r="AE46" s="26"/>
    </row>
    <row r="47" spans="1:31" s="51" customFormat="1" ht="63" customHeight="1">
      <c r="A47" s="33"/>
      <c r="B47" s="33"/>
      <c r="C47" s="33"/>
      <c r="D47" s="33"/>
      <c r="E47" s="33"/>
      <c r="F47" s="33"/>
      <c r="G47" s="33"/>
      <c r="H47" s="34"/>
      <c r="I47" s="35"/>
      <c r="J47" s="36"/>
      <c r="K47" s="33"/>
      <c r="L47" s="33"/>
      <c r="M47" s="33"/>
      <c r="N47" s="37"/>
      <c r="O47" s="33"/>
      <c r="P47" s="33"/>
      <c r="Q47" s="38"/>
      <c r="R47" s="39"/>
      <c r="S47" s="40"/>
      <c r="T47" s="40"/>
      <c r="U47" s="33"/>
      <c r="V47" s="41"/>
      <c r="W47" s="33"/>
      <c r="X47" s="33"/>
      <c r="Y47" s="33"/>
      <c r="Z47" s="33"/>
      <c r="AA47" s="33"/>
      <c r="AB47" s="33"/>
      <c r="AC47" s="26"/>
      <c r="AD47" s="50"/>
      <c r="AE47" s="26"/>
    </row>
    <row r="48" spans="1:31" s="51" customFormat="1" ht="63" customHeight="1">
      <c r="A48" s="33"/>
      <c r="B48" s="33"/>
      <c r="C48" s="33"/>
      <c r="D48" s="33"/>
      <c r="E48" s="33"/>
      <c r="F48" s="33"/>
      <c r="G48" s="33"/>
      <c r="H48" s="34"/>
      <c r="I48" s="35"/>
      <c r="J48" s="36"/>
      <c r="K48" s="33"/>
      <c r="L48" s="33"/>
      <c r="M48" s="33"/>
      <c r="N48" s="37"/>
      <c r="O48" s="33"/>
      <c r="P48" s="33"/>
      <c r="Q48" s="38"/>
      <c r="R48" s="39"/>
      <c r="S48" s="40"/>
      <c r="T48" s="40"/>
      <c r="U48" s="33"/>
      <c r="V48" s="41"/>
      <c r="W48" s="33"/>
      <c r="X48" s="33"/>
      <c r="Y48" s="33"/>
      <c r="Z48" s="33"/>
      <c r="AA48" s="33"/>
      <c r="AB48" s="33"/>
      <c r="AC48" s="26"/>
      <c r="AD48" s="50"/>
      <c r="AE48" s="26"/>
    </row>
    <row r="49" spans="1:31" s="51" customFormat="1" ht="63" customHeight="1">
      <c r="A49" s="33"/>
      <c r="B49" s="33"/>
      <c r="C49" s="33"/>
      <c r="D49" s="33"/>
      <c r="E49" s="33"/>
      <c r="F49" s="33"/>
      <c r="G49" s="33"/>
      <c r="H49" s="34"/>
      <c r="I49" s="35"/>
      <c r="J49" s="36"/>
      <c r="K49" s="33"/>
      <c r="L49" s="33"/>
      <c r="M49" s="33"/>
      <c r="N49" s="37"/>
      <c r="O49" s="33"/>
      <c r="P49" s="33"/>
      <c r="Q49" s="38"/>
      <c r="R49" s="39"/>
      <c r="S49" s="40"/>
      <c r="T49" s="40"/>
      <c r="U49" s="33"/>
      <c r="V49" s="41"/>
      <c r="W49" s="33"/>
      <c r="X49" s="33"/>
      <c r="Y49" s="33"/>
      <c r="Z49" s="33"/>
      <c r="AA49" s="33"/>
      <c r="AB49" s="33"/>
      <c r="AC49" s="26"/>
      <c r="AD49" s="50"/>
      <c r="AE49" s="26"/>
    </row>
    <row r="50" spans="1:31" s="51" customFormat="1" ht="63" customHeight="1">
      <c r="A50" s="33"/>
      <c r="B50" s="33"/>
      <c r="C50" s="33"/>
      <c r="D50" s="33"/>
      <c r="E50" s="33"/>
      <c r="F50" s="33"/>
      <c r="G50" s="33"/>
      <c r="H50" s="34"/>
      <c r="I50" s="35"/>
      <c r="J50" s="36"/>
      <c r="K50" s="33"/>
      <c r="L50" s="33"/>
      <c r="M50" s="33"/>
      <c r="N50" s="37"/>
      <c r="O50" s="33"/>
      <c r="P50" s="33"/>
      <c r="Q50" s="38"/>
      <c r="R50" s="39"/>
      <c r="S50" s="40"/>
      <c r="T50" s="40"/>
      <c r="U50" s="33"/>
      <c r="V50" s="41"/>
      <c r="W50" s="33"/>
      <c r="X50" s="33"/>
      <c r="Y50" s="33"/>
      <c r="Z50" s="33"/>
      <c r="AA50" s="33"/>
      <c r="AB50" s="33"/>
      <c r="AC50" s="26"/>
      <c r="AD50" s="50"/>
      <c r="AE50" s="26"/>
    </row>
    <row r="51" spans="1:31" s="51" customFormat="1" ht="63" customHeight="1">
      <c r="A51" s="33"/>
      <c r="B51" s="33"/>
      <c r="C51" s="33"/>
      <c r="D51" s="33"/>
      <c r="E51" s="33"/>
      <c r="F51" s="33"/>
      <c r="G51" s="33"/>
      <c r="H51" s="34"/>
      <c r="I51" s="35"/>
      <c r="J51" s="36"/>
      <c r="K51" s="33"/>
      <c r="L51" s="33"/>
      <c r="M51" s="33"/>
      <c r="N51" s="37"/>
      <c r="O51" s="33"/>
      <c r="P51" s="33"/>
      <c r="Q51" s="38"/>
      <c r="R51" s="39"/>
      <c r="S51" s="40"/>
      <c r="T51" s="40"/>
      <c r="U51" s="33"/>
      <c r="V51" s="41"/>
      <c r="W51" s="33"/>
      <c r="X51" s="33"/>
      <c r="Y51" s="33"/>
      <c r="Z51" s="33"/>
      <c r="AA51" s="33"/>
      <c r="AB51" s="33"/>
      <c r="AC51" s="26"/>
      <c r="AD51" s="50"/>
      <c r="AE51" s="26"/>
    </row>
    <row r="52" spans="1:31" s="51" customFormat="1" ht="63" customHeight="1">
      <c r="A52" s="33"/>
      <c r="B52" s="33"/>
      <c r="C52" s="33"/>
      <c r="D52" s="33"/>
      <c r="E52" s="33"/>
      <c r="F52" s="33"/>
      <c r="G52" s="33"/>
      <c r="H52" s="34"/>
      <c r="I52" s="35"/>
      <c r="J52" s="36"/>
      <c r="K52" s="33"/>
      <c r="L52" s="33"/>
      <c r="M52" s="33"/>
      <c r="N52" s="37"/>
      <c r="O52" s="33"/>
      <c r="P52" s="33"/>
      <c r="Q52" s="38"/>
      <c r="R52" s="39"/>
      <c r="S52" s="40"/>
      <c r="T52" s="40"/>
      <c r="U52" s="33"/>
      <c r="V52" s="41"/>
      <c r="W52" s="33"/>
      <c r="X52" s="33"/>
      <c r="Y52" s="33"/>
      <c r="Z52" s="33"/>
      <c r="AA52" s="33"/>
      <c r="AB52" s="33"/>
      <c r="AC52" s="26"/>
      <c r="AD52" s="50"/>
      <c r="AE52" s="26"/>
    </row>
    <row r="53" spans="1:31" s="51" customFormat="1" ht="63" customHeight="1">
      <c r="A53" s="33"/>
      <c r="B53" s="33"/>
      <c r="C53" s="33"/>
      <c r="D53" s="33"/>
      <c r="E53" s="33"/>
      <c r="F53" s="33"/>
      <c r="G53" s="33"/>
      <c r="H53" s="34"/>
      <c r="I53" s="35"/>
      <c r="J53" s="36"/>
      <c r="K53" s="33"/>
      <c r="L53" s="33"/>
      <c r="M53" s="33"/>
      <c r="N53" s="37"/>
      <c r="O53" s="33"/>
      <c r="P53" s="33"/>
      <c r="Q53" s="38"/>
      <c r="R53" s="39"/>
      <c r="S53" s="40"/>
      <c r="T53" s="40"/>
      <c r="U53" s="33"/>
      <c r="V53" s="41"/>
      <c r="W53" s="33"/>
      <c r="X53" s="33"/>
      <c r="Y53" s="33"/>
      <c r="Z53" s="33"/>
      <c r="AA53" s="33"/>
      <c r="AB53" s="33"/>
      <c r="AC53" s="26"/>
      <c r="AD53" s="50"/>
      <c r="AE53" s="26"/>
    </row>
    <row r="54" spans="1:31" s="51" customFormat="1" ht="63" customHeight="1">
      <c r="A54" s="33"/>
      <c r="B54" s="33"/>
      <c r="C54" s="33"/>
      <c r="D54" s="33"/>
      <c r="E54" s="33"/>
      <c r="F54" s="33"/>
      <c r="G54" s="33"/>
      <c r="H54" s="34"/>
      <c r="I54" s="35"/>
      <c r="J54" s="36"/>
      <c r="K54" s="33"/>
      <c r="L54" s="33"/>
      <c r="M54" s="33"/>
      <c r="N54" s="37"/>
      <c r="O54" s="33"/>
      <c r="P54" s="33"/>
      <c r="Q54" s="38"/>
      <c r="R54" s="39"/>
      <c r="S54" s="40"/>
      <c r="T54" s="40"/>
      <c r="U54" s="33"/>
      <c r="V54" s="41"/>
      <c r="W54" s="33"/>
      <c r="X54" s="33"/>
      <c r="Y54" s="33"/>
      <c r="Z54" s="33"/>
      <c r="AA54" s="33"/>
      <c r="AB54" s="33"/>
      <c r="AC54" s="26"/>
      <c r="AD54" s="50"/>
      <c r="AE54" s="26"/>
    </row>
    <row r="55" spans="1:31" s="51" customFormat="1" ht="63" customHeight="1">
      <c r="A55" s="33"/>
      <c r="B55" s="33"/>
      <c r="C55" s="33"/>
      <c r="D55" s="33"/>
      <c r="E55" s="33"/>
      <c r="F55" s="33"/>
      <c r="G55" s="33"/>
      <c r="H55" s="34"/>
      <c r="I55" s="35"/>
      <c r="J55" s="36"/>
      <c r="K55" s="33"/>
      <c r="L55" s="33"/>
      <c r="M55" s="33"/>
      <c r="N55" s="37"/>
      <c r="O55" s="33"/>
      <c r="P55" s="33"/>
      <c r="Q55" s="38"/>
      <c r="R55" s="39"/>
      <c r="S55" s="40"/>
      <c r="T55" s="40"/>
      <c r="U55" s="33"/>
      <c r="V55" s="41"/>
      <c r="W55" s="33"/>
      <c r="X55" s="33"/>
      <c r="Y55" s="33"/>
      <c r="Z55" s="33"/>
      <c r="AA55" s="33"/>
      <c r="AB55" s="33"/>
      <c r="AC55" s="26"/>
      <c r="AD55" s="50"/>
      <c r="AE55" s="26"/>
    </row>
    <row r="56" spans="1:31" s="51" customFormat="1" ht="30" customHeight="1">
      <c r="A56" s="33"/>
      <c r="B56" s="33"/>
      <c r="C56" s="33"/>
      <c r="D56" s="33"/>
      <c r="E56" s="33"/>
      <c r="F56" s="33"/>
      <c r="G56" s="33"/>
      <c r="H56" s="34"/>
      <c r="I56" s="35"/>
      <c r="J56" s="36"/>
      <c r="K56" s="33"/>
      <c r="L56" s="33"/>
      <c r="M56" s="33"/>
      <c r="N56" s="37"/>
      <c r="O56" s="33"/>
      <c r="P56" s="33"/>
      <c r="Q56" s="38"/>
      <c r="R56" s="39"/>
      <c r="S56" s="40"/>
      <c r="T56" s="40"/>
      <c r="U56" s="33"/>
      <c r="V56" s="41"/>
      <c r="W56" s="33"/>
      <c r="X56" s="33"/>
      <c r="Y56" s="33"/>
      <c r="Z56" s="33"/>
      <c r="AA56" s="33"/>
      <c r="AB56" s="33"/>
      <c r="AC56" s="26"/>
      <c r="AD56" s="50"/>
      <c r="AE56" s="26"/>
    </row>
    <row r="57" spans="1:31" s="51" customFormat="1" ht="30" customHeight="1">
      <c r="A57" s="33"/>
      <c r="B57" s="33"/>
      <c r="C57" s="33"/>
      <c r="D57" s="33"/>
      <c r="E57" s="33"/>
      <c r="F57" s="33"/>
      <c r="G57" s="33"/>
      <c r="H57" s="34"/>
      <c r="I57" s="35"/>
      <c r="J57" s="36"/>
      <c r="K57" s="33"/>
      <c r="L57" s="33"/>
      <c r="M57" s="33"/>
      <c r="N57" s="37"/>
      <c r="O57" s="33"/>
      <c r="P57" s="33"/>
      <c r="Q57" s="38"/>
      <c r="R57" s="39"/>
      <c r="S57" s="40"/>
      <c r="T57" s="40"/>
      <c r="U57" s="33"/>
      <c r="V57" s="41"/>
      <c r="W57" s="33"/>
      <c r="X57" s="33"/>
      <c r="Y57" s="33"/>
      <c r="Z57" s="33"/>
      <c r="AA57" s="33"/>
      <c r="AB57" s="33"/>
      <c r="AC57" s="26"/>
      <c r="AD57" s="50"/>
      <c r="AE57" s="26"/>
    </row>
    <row r="58" spans="1:31" s="51" customFormat="1" ht="30" customHeight="1">
      <c r="A58" s="33"/>
      <c r="B58" s="33"/>
      <c r="C58" s="33"/>
      <c r="D58" s="33"/>
      <c r="E58" s="33"/>
      <c r="F58" s="33"/>
      <c r="G58" s="33"/>
      <c r="H58" s="34"/>
      <c r="I58" s="35"/>
      <c r="J58" s="36"/>
      <c r="K58" s="33"/>
      <c r="L58" s="33"/>
      <c r="M58" s="33"/>
      <c r="N58" s="37"/>
      <c r="O58" s="33"/>
      <c r="P58" s="33"/>
      <c r="Q58" s="38"/>
      <c r="R58" s="39"/>
      <c r="S58" s="40"/>
      <c r="T58" s="40"/>
      <c r="U58" s="33"/>
      <c r="V58" s="41"/>
      <c r="W58" s="33"/>
      <c r="X58" s="33"/>
      <c r="Y58" s="33"/>
      <c r="Z58" s="33"/>
      <c r="AA58" s="33"/>
      <c r="AB58" s="33"/>
      <c r="AC58" s="26"/>
      <c r="AD58" s="50"/>
      <c r="AE58" s="26"/>
    </row>
    <row r="59" spans="1:31" s="51" customFormat="1" ht="30" customHeight="1">
      <c r="A59" s="33"/>
      <c r="B59" s="33"/>
      <c r="C59" s="33"/>
      <c r="D59" s="33"/>
      <c r="E59" s="33"/>
      <c r="F59" s="33"/>
      <c r="G59" s="33"/>
      <c r="H59" s="34"/>
      <c r="I59" s="35"/>
      <c r="J59" s="36"/>
      <c r="K59" s="33"/>
      <c r="L59" s="33"/>
      <c r="M59" s="33"/>
      <c r="N59" s="37"/>
      <c r="O59" s="33"/>
      <c r="P59" s="33"/>
      <c r="Q59" s="38"/>
      <c r="R59" s="39"/>
      <c r="S59" s="40"/>
      <c r="T59" s="40"/>
      <c r="U59" s="33"/>
      <c r="V59" s="41"/>
      <c r="W59" s="33"/>
      <c r="X59" s="33"/>
      <c r="Y59" s="33"/>
      <c r="Z59" s="33"/>
      <c r="AA59" s="33"/>
      <c r="AB59" s="33"/>
      <c r="AC59" s="26"/>
      <c r="AD59" s="50"/>
      <c r="AE59" s="26"/>
    </row>
    <row r="60" spans="1:31" s="51" customFormat="1" ht="30" customHeight="1">
      <c r="A60" s="33"/>
      <c r="B60" s="33"/>
      <c r="C60" s="33"/>
      <c r="D60" s="33"/>
      <c r="E60" s="33"/>
      <c r="F60" s="33"/>
      <c r="G60" s="33"/>
      <c r="H60" s="34"/>
      <c r="I60" s="35"/>
      <c r="J60" s="36"/>
      <c r="K60" s="33"/>
      <c r="L60" s="33"/>
      <c r="M60" s="33"/>
      <c r="N60" s="37"/>
      <c r="O60" s="33"/>
      <c r="P60" s="33"/>
      <c r="Q60" s="38"/>
      <c r="R60" s="39"/>
      <c r="S60" s="40"/>
      <c r="T60" s="40"/>
      <c r="U60" s="33"/>
      <c r="V60" s="41"/>
      <c r="W60" s="33"/>
      <c r="X60" s="33"/>
      <c r="Y60" s="33"/>
      <c r="Z60" s="33"/>
      <c r="AA60" s="33"/>
      <c r="AB60" s="33"/>
      <c r="AC60" s="26"/>
      <c r="AD60" s="50"/>
      <c r="AE60" s="26"/>
    </row>
    <row r="61" spans="1:31" s="51" customFormat="1" ht="30" customHeight="1">
      <c r="A61" s="33"/>
      <c r="B61" s="33"/>
      <c r="C61" s="33"/>
      <c r="D61" s="33"/>
      <c r="E61" s="33"/>
      <c r="F61" s="33"/>
      <c r="G61" s="33"/>
      <c r="H61" s="34"/>
      <c r="I61" s="35"/>
      <c r="J61" s="36"/>
      <c r="K61" s="33"/>
      <c r="L61" s="33"/>
      <c r="M61" s="33"/>
      <c r="N61" s="37"/>
      <c r="O61" s="33"/>
      <c r="P61" s="33"/>
      <c r="Q61" s="38"/>
      <c r="R61" s="39"/>
      <c r="S61" s="40"/>
      <c r="T61" s="40"/>
      <c r="U61" s="33"/>
      <c r="V61" s="41"/>
      <c r="W61" s="33"/>
      <c r="X61" s="33"/>
      <c r="Y61" s="33"/>
      <c r="Z61" s="33"/>
      <c r="AA61" s="33"/>
      <c r="AB61" s="33"/>
      <c r="AC61" s="26"/>
      <c r="AD61" s="50"/>
      <c r="AE61" s="26"/>
    </row>
    <row r="62" spans="1:31" s="51" customFormat="1" ht="30" customHeight="1">
      <c r="A62" s="33"/>
      <c r="B62" s="33"/>
      <c r="C62" s="33"/>
      <c r="D62" s="33"/>
      <c r="E62" s="33"/>
      <c r="F62" s="33"/>
      <c r="G62" s="33"/>
      <c r="H62" s="34"/>
      <c r="I62" s="35"/>
      <c r="J62" s="36"/>
      <c r="K62" s="33"/>
      <c r="L62" s="33"/>
      <c r="M62" s="33"/>
      <c r="N62" s="37"/>
      <c r="O62" s="33"/>
      <c r="P62" s="33"/>
      <c r="Q62" s="38"/>
      <c r="R62" s="39"/>
      <c r="S62" s="40"/>
      <c r="T62" s="40"/>
      <c r="U62" s="33"/>
      <c r="V62" s="41"/>
      <c r="W62" s="33"/>
      <c r="X62" s="33"/>
      <c r="Y62" s="33"/>
      <c r="Z62" s="33"/>
      <c r="AA62" s="33"/>
      <c r="AB62" s="33"/>
      <c r="AC62" s="26"/>
      <c r="AD62" s="50"/>
      <c r="AE62" s="26"/>
    </row>
    <row r="63" spans="1:31" s="51" customFormat="1" ht="30" customHeight="1">
      <c r="A63" s="33"/>
      <c r="B63" s="33"/>
      <c r="C63" s="33"/>
      <c r="D63" s="33"/>
      <c r="E63" s="33"/>
      <c r="F63" s="33"/>
      <c r="G63" s="33"/>
      <c r="H63" s="34"/>
      <c r="I63" s="35"/>
      <c r="J63" s="36"/>
      <c r="K63" s="33"/>
      <c r="L63" s="33"/>
      <c r="M63" s="33"/>
      <c r="N63" s="37"/>
      <c r="O63" s="33"/>
      <c r="P63" s="33"/>
      <c r="Q63" s="38"/>
      <c r="R63" s="39"/>
      <c r="S63" s="40"/>
      <c r="T63" s="40"/>
      <c r="U63" s="33"/>
      <c r="V63" s="41"/>
      <c r="W63" s="33"/>
      <c r="X63" s="33"/>
      <c r="Y63" s="33"/>
      <c r="Z63" s="33"/>
      <c r="AA63" s="33"/>
      <c r="AB63" s="33"/>
      <c r="AC63" s="26"/>
      <c r="AD63" s="50"/>
      <c r="AE63" s="26"/>
    </row>
    <row r="64" spans="1:31" s="51" customFormat="1" ht="30" customHeight="1">
      <c r="A64" s="33"/>
      <c r="B64" s="33"/>
      <c r="C64" s="33"/>
      <c r="D64" s="33"/>
      <c r="E64" s="33"/>
      <c r="F64" s="33"/>
      <c r="G64" s="33"/>
      <c r="H64" s="34"/>
      <c r="I64" s="35"/>
      <c r="J64" s="36"/>
      <c r="K64" s="33"/>
      <c r="L64" s="33"/>
      <c r="M64" s="33"/>
      <c r="N64" s="37"/>
      <c r="O64" s="33"/>
      <c r="P64" s="33"/>
      <c r="Q64" s="38"/>
      <c r="R64" s="39"/>
      <c r="S64" s="40"/>
      <c r="T64" s="40"/>
      <c r="U64" s="33"/>
      <c r="V64" s="41"/>
      <c r="W64" s="33"/>
      <c r="X64" s="33"/>
      <c r="Y64" s="33"/>
      <c r="Z64" s="33"/>
      <c r="AA64" s="33"/>
      <c r="AB64" s="33"/>
      <c r="AC64" s="26"/>
      <c r="AD64" s="50"/>
      <c r="AE64" s="26"/>
    </row>
    <row r="65" spans="1:31" s="51" customFormat="1" ht="30" customHeight="1">
      <c r="A65" s="33"/>
      <c r="B65" s="33"/>
      <c r="C65" s="33"/>
      <c r="D65" s="33"/>
      <c r="E65" s="33"/>
      <c r="F65" s="33"/>
      <c r="G65" s="33"/>
      <c r="H65" s="34"/>
      <c r="I65" s="35"/>
      <c r="J65" s="36"/>
      <c r="K65" s="33"/>
      <c r="L65" s="33"/>
      <c r="M65" s="33"/>
      <c r="N65" s="37"/>
      <c r="O65" s="33"/>
      <c r="P65" s="33"/>
      <c r="Q65" s="38"/>
      <c r="R65" s="39"/>
      <c r="S65" s="40"/>
      <c r="T65" s="40"/>
      <c r="U65" s="33"/>
      <c r="V65" s="41"/>
      <c r="W65" s="33"/>
      <c r="X65" s="33"/>
      <c r="Y65" s="33"/>
      <c r="Z65" s="33"/>
      <c r="AA65" s="33"/>
      <c r="AB65" s="33"/>
      <c r="AC65" s="26"/>
      <c r="AD65" s="50"/>
      <c r="AE65" s="26"/>
    </row>
    <row r="66" spans="1:31" s="51" customFormat="1" ht="30" customHeight="1">
      <c r="A66" s="33"/>
      <c r="B66" s="33"/>
      <c r="C66" s="33"/>
      <c r="D66" s="33"/>
      <c r="E66" s="33"/>
      <c r="F66" s="33"/>
      <c r="G66" s="33"/>
      <c r="H66" s="34"/>
      <c r="I66" s="35"/>
      <c r="J66" s="36"/>
      <c r="K66" s="33"/>
      <c r="L66" s="33"/>
      <c r="M66" s="33"/>
      <c r="N66" s="37"/>
      <c r="O66" s="33"/>
      <c r="P66" s="33"/>
      <c r="Q66" s="38"/>
      <c r="R66" s="39"/>
      <c r="S66" s="40"/>
      <c r="T66" s="40"/>
      <c r="U66" s="33"/>
      <c r="V66" s="41"/>
      <c r="W66" s="33"/>
      <c r="X66" s="33"/>
      <c r="Y66" s="33"/>
      <c r="Z66" s="33"/>
      <c r="AA66" s="33"/>
      <c r="AB66" s="33"/>
      <c r="AC66" s="26"/>
      <c r="AD66" s="50"/>
      <c r="AE66" s="26"/>
    </row>
    <row r="67" spans="1:31" s="51" customFormat="1" ht="30" customHeight="1">
      <c r="A67" s="33"/>
      <c r="B67" s="33"/>
      <c r="C67" s="33"/>
      <c r="D67" s="33"/>
      <c r="E67" s="33"/>
      <c r="F67" s="33"/>
      <c r="G67" s="33"/>
      <c r="H67" s="34"/>
      <c r="I67" s="35"/>
      <c r="J67" s="36"/>
      <c r="K67" s="33"/>
      <c r="L67" s="33"/>
      <c r="M67" s="33"/>
      <c r="N67" s="37"/>
      <c r="O67" s="33"/>
      <c r="P67" s="33"/>
      <c r="Q67" s="38"/>
      <c r="R67" s="39"/>
      <c r="S67" s="40"/>
      <c r="T67" s="40"/>
      <c r="U67" s="33"/>
      <c r="V67" s="41"/>
      <c r="W67" s="33"/>
      <c r="X67" s="33"/>
      <c r="Y67" s="33"/>
      <c r="Z67" s="33"/>
      <c r="AA67" s="33"/>
      <c r="AB67" s="33"/>
      <c r="AC67" s="26"/>
      <c r="AD67" s="50"/>
      <c r="AE67" s="26"/>
    </row>
    <row r="68" spans="1:31" s="51" customFormat="1" ht="30" customHeight="1">
      <c r="A68" s="33"/>
      <c r="B68" s="33"/>
      <c r="C68" s="33"/>
      <c r="D68" s="33"/>
      <c r="E68" s="33"/>
      <c r="F68" s="33"/>
      <c r="G68" s="33"/>
      <c r="H68" s="34"/>
      <c r="I68" s="35"/>
      <c r="J68" s="36"/>
      <c r="K68" s="33"/>
      <c r="L68" s="33"/>
      <c r="M68" s="33"/>
      <c r="N68" s="37"/>
      <c r="O68" s="33"/>
      <c r="P68" s="33"/>
      <c r="Q68" s="38"/>
      <c r="R68" s="39"/>
      <c r="S68" s="40"/>
      <c r="T68" s="40"/>
      <c r="U68" s="33"/>
      <c r="V68" s="41"/>
      <c r="W68" s="33"/>
      <c r="X68" s="33"/>
      <c r="Y68" s="33"/>
      <c r="Z68" s="33"/>
      <c r="AA68" s="33"/>
      <c r="AB68" s="33"/>
      <c r="AC68" s="26"/>
      <c r="AD68" s="50"/>
      <c r="AE68" s="26"/>
    </row>
    <row r="69" spans="1:31" s="51" customFormat="1" ht="30" customHeight="1">
      <c r="A69" s="33"/>
      <c r="B69" s="33"/>
      <c r="C69" s="33"/>
      <c r="D69" s="33"/>
      <c r="E69" s="33"/>
      <c r="F69" s="33"/>
      <c r="G69" s="33"/>
      <c r="H69" s="34"/>
      <c r="I69" s="35"/>
      <c r="J69" s="36"/>
      <c r="K69" s="33"/>
      <c r="L69" s="33"/>
      <c r="M69" s="33"/>
      <c r="N69" s="37"/>
      <c r="O69" s="33"/>
      <c r="P69" s="33"/>
      <c r="Q69" s="38"/>
      <c r="R69" s="39"/>
      <c r="S69" s="40"/>
      <c r="T69" s="40"/>
      <c r="U69" s="33"/>
      <c r="V69" s="41"/>
      <c r="W69" s="33"/>
      <c r="X69" s="33"/>
      <c r="Y69" s="33"/>
      <c r="Z69" s="33"/>
      <c r="AA69" s="33"/>
      <c r="AB69" s="33"/>
      <c r="AC69" s="26"/>
      <c r="AD69" s="50"/>
      <c r="AE69" s="26"/>
    </row>
    <row r="70" spans="1:31" s="51" customFormat="1" ht="30" customHeight="1">
      <c r="A70" s="33"/>
      <c r="B70" s="33"/>
      <c r="C70" s="33"/>
      <c r="D70" s="33"/>
      <c r="E70" s="33"/>
      <c r="F70" s="33"/>
      <c r="G70" s="33"/>
      <c r="H70" s="34"/>
      <c r="I70" s="35"/>
      <c r="J70" s="36"/>
      <c r="K70" s="33"/>
      <c r="L70" s="33"/>
      <c r="M70" s="33"/>
      <c r="N70" s="37"/>
      <c r="O70" s="33"/>
      <c r="P70" s="33"/>
      <c r="Q70" s="38"/>
      <c r="R70" s="39"/>
      <c r="S70" s="40"/>
      <c r="T70" s="40"/>
      <c r="U70" s="33"/>
      <c r="V70" s="41"/>
      <c r="W70" s="33"/>
      <c r="X70" s="33"/>
      <c r="Y70" s="33"/>
      <c r="Z70" s="33"/>
      <c r="AA70" s="33"/>
      <c r="AB70" s="33"/>
      <c r="AC70" s="26"/>
      <c r="AD70" s="50"/>
      <c r="AE70" s="26"/>
    </row>
    <row r="71" spans="1:31" s="51" customFormat="1" ht="30" customHeight="1">
      <c r="A71" s="33"/>
      <c r="B71" s="33"/>
      <c r="C71" s="33"/>
      <c r="D71" s="33"/>
      <c r="E71" s="33"/>
      <c r="F71" s="33"/>
      <c r="G71" s="33"/>
      <c r="H71" s="34"/>
      <c r="I71" s="35"/>
      <c r="J71" s="36"/>
      <c r="K71" s="33"/>
      <c r="L71" s="33"/>
      <c r="M71" s="33"/>
      <c r="N71" s="37"/>
      <c r="O71" s="33"/>
      <c r="P71" s="33"/>
      <c r="Q71" s="38"/>
      <c r="R71" s="39"/>
      <c r="S71" s="40"/>
      <c r="T71" s="40"/>
      <c r="U71" s="33"/>
      <c r="V71" s="41"/>
      <c r="W71" s="33"/>
      <c r="X71" s="33"/>
      <c r="Y71" s="33"/>
      <c r="Z71" s="33"/>
      <c r="AA71" s="33"/>
      <c r="AB71" s="33"/>
      <c r="AC71" s="26"/>
      <c r="AD71" s="50"/>
      <c r="AE71" s="26"/>
    </row>
    <row r="72" spans="1:31" s="51" customFormat="1" ht="30" customHeight="1">
      <c r="A72" s="33"/>
      <c r="B72" s="33"/>
      <c r="C72" s="33"/>
      <c r="D72" s="33"/>
      <c r="E72" s="33"/>
      <c r="F72" s="33"/>
      <c r="G72" s="33"/>
      <c r="H72" s="34"/>
      <c r="I72" s="35"/>
      <c r="J72" s="36"/>
      <c r="K72" s="33"/>
      <c r="L72" s="33"/>
      <c r="M72" s="33"/>
      <c r="N72" s="37"/>
      <c r="O72" s="33"/>
      <c r="P72" s="33"/>
      <c r="Q72" s="38"/>
      <c r="R72" s="39"/>
      <c r="S72" s="40"/>
      <c r="T72" s="40"/>
      <c r="U72" s="33"/>
      <c r="V72" s="41"/>
      <c r="W72" s="33"/>
      <c r="X72" s="33"/>
      <c r="Y72" s="33"/>
      <c r="Z72" s="33"/>
      <c r="AA72" s="33"/>
      <c r="AB72" s="33"/>
      <c r="AC72" s="26"/>
      <c r="AD72" s="50"/>
      <c r="AE72" s="26"/>
    </row>
    <row r="73" spans="1:31" s="51" customFormat="1" ht="30" customHeight="1">
      <c r="A73" s="33"/>
      <c r="B73" s="33"/>
      <c r="C73" s="33"/>
      <c r="D73" s="33"/>
      <c r="E73" s="33"/>
      <c r="F73" s="33"/>
      <c r="G73" s="33"/>
      <c r="H73" s="34"/>
      <c r="I73" s="35"/>
      <c r="J73" s="36"/>
      <c r="K73" s="33"/>
      <c r="L73" s="33"/>
      <c r="M73" s="33"/>
      <c r="N73" s="37"/>
      <c r="O73" s="33"/>
      <c r="P73" s="33"/>
      <c r="Q73" s="38"/>
      <c r="R73" s="39"/>
      <c r="S73" s="40"/>
      <c r="T73" s="40"/>
      <c r="U73" s="33"/>
      <c r="V73" s="41"/>
      <c r="W73" s="33"/>
      <c r="X73" s="33"/>
      <c r="Y73" s="33"/>
      <c r="Z73" s="33"/>
      <c r="AA73" s="33"/>
      <c r="AB73" s="33"/>
      <c r="AC73" s="26"/>
      <c r="AD73" s="50"/>
      <c r="AE73" s="26"/>
    </row>
    <row r="74" spans="1:31" s="51" customFormat="1" ht="30" customHeight="1">
      <c r="A74" s="33"/>
      <c r="B74" s="33"/>
      <c r="C74" s="33"/>
      <c r="D74" s="33"/>
      <c r="E74" s="33"/>
      <c r="F74" s="33"/>
      <c r="G74" s="33"/>
      <c r="H74" s="34"/>
      <c r="I74" s="35"/>
      <c r="J74" s="36"/>
      <c r="K74" s="33"/>
      <c r="L74" s="33"/>
      <c r="M74" s="33"/>
      <c r="N74" s="37"/>
      <c r="O74" s="33"/>
      <c r="P74" s="33"/>
      <c r="Q74" s="38"/>
      <c r="R74" s="39"/>
      <c r="S74" s="40"/>
      <c r="T74" s="40"/>
      <c r="U74" s="33"/>
      <c r="V74" s="41"/>
      <c r="W74" s="33"/>
      <c r="X74" s="33"/>
      <c r="Y74" s="33"/>
      <c r="Z74" s="33"/>
      <c r="AA74" s="33"/>
      <c r="AB74" s="33"/>
      <c r="AC74" s="26"/>
      <c r="AD74" s="50"/>
      <c r="AE74" s="26"/>
    </row>
    <row r="75" spans="1:31" s="51" customFormat="1" ht="30" customHeight="1">
      <c r="A75" s="33"/>
      <c r="B75" s="33"/>
      <c r="C75" s="33"/>
      <c r="D75" s="33"/>
      <c r="E75" s="33"/>
      <c r="F75" s="33"/>
      <c r="G75" s="33"/>
      <c r="H75" s="34"/>
      <c r="I75" s="35"/>
      <c r="J75" s="36"/>
      <c r="K75" s="33"/>
      <c r="L75" s="33"/>
      <c r="M75" s="33"/>
      <c r="N75" s="37"/>
      <c r="O75" s="33"/>
      <c r="P75" s="33"/>
      <c r="Q75" s="38"/>
      <c r="R75" s="39"/>
      <c r="S75" s="40"/>
      <c r="T75" s="40"/>
      <c r="U75" s="33"/>
      <c r="V75" s="41"/>
      <c r="W75" s="33"/>
      <c r="X75" s="33"/>
      <c r="Y75" s="33"/>
      <c r="Z75" s="33"/>
      <c r="AA75" s="33"/>
      <c r="AB75" s="33"/>
      <c r="AC75" s="26"/>
      <c r="AD75" s="50"/>
      <c r="AE75" s="26"/>
    </row>
    <row r="76" spans="1:31" s="51" customFormat="1" ht="30" customHeight="1">
      <c r="A76" s="33"/>
      <c r="B76" s="33"/>
      <c r="C76" s="33"/>
      <c r="D76" s="33"/>
      <c r="E76" s="33"/>
      <c r="F76" s="33"/>
      <c r="G76" s="33"/>
      <c r="H76" s="34"/>
      <c r="I76" s="35"/>
      <c r="J76" s="36"/>
      <c r="K76" s="33"/>
      <c r="L76" s="33"/>
      <c r="M76" s="33"/>
      <c r="N76" s="37"/>
      <c r="O76" s="33"/>
      <c r="P76" s="33"/>
      <c r="Q76" s="38"/>
      <c r="R76" s="39"/>
      <c r="S76" s="40"/>
      <c r="T76" s="40"/>
      <c r="U76" s="33"/>
      <c r="V76" s="41"/>
      <c r="W76" s="33"/>
      <c r="X76" s="33"/>
      <c r="Y76" s="33"/>
      <c r="Z76" s="33"/>
      <c r="AA76" s="33"/>
      <c r="AB76" s="33"/>
      <c r="AC76" s="26"/>
      <c r="AD76" s="50"/>
      <c r="AE76" s="26"/>
    </row>
    <row r="77" spans="1:31" s="51" customFormat="1" ht="30" customHeight="1">
      <c r="A77" s="33"/>
      <c r="B77" s="33"/>
      <c r="C77" s="33"/>
      <c r="D77" s="33"/>
      <c r="E77" s="33"/>
      <c r="F77" s="33"/>
      <c r="G77" s="33"/>
      <c r="H77" s="34"/>
      <c r="I77" s="35"/>
      <c r="J77" s="36"/>
      <c r="K77" s="33"/>
      <c r="L77" s="33"/>
      <c r="M77" s="33"/>
      <c r="N77" s="37"/>
      <c r="O77" s="33"/>
      <c r="P77" s="33"/>
      <c r="Q77" s="38"/>
      <c r="R77" s="39"/>
      <c r="S77" s="40"/>
      <c r="T77" s="40"/>
      <c r="U77" s="33"/>
      <c r="V77" s="41"/>
      <c r="W77" s="33"/>
      <c r="X77" s="33"/>
      <c r="Y77" s="33"/>
      <c r="Z77" s="33"/>
      <c r="AA77" s="33"/>
      <c r="AB77" s="33"/>
      <c r="AC77" s="26"/>
      <c r="AD77" s="50"/>
      <c r="AE77" s="26"/>
    </row>
    <row r="78" spans="1:31" s="51" customFormat="1" ht="30" customHeight="1">
      <c r="A78" s="33"/>
      <c r="B78" s="33"/>
      <c r="C78" s="33"/>
      <c r="D78" s="33"/>
      <c r="E78" s="33"/>
      <c r="F78" s="33"/>
      <c r="G78" s="33"/>
      <c r="H78" s="34"/>
      <c r="I78" s="35"/>
      <c r="J78" s="36"/>
      <c r="K78" s="33"/>
      <c r="L78" s="33"/>
      <c r="M78" s="33"/>
      <c r="N78" s="37"/>
      <c r="O78" s="33"/>
      <c r="P78" s="33"/>
      <c r="Q78" s="38"/>
      <c r="R78" s="39"/>
      <c r="S78" s="40"/>
      <c r="T78" s="40"/>
      <c r="U78" s="33"/>
      <c r="V78" s="41"/>
      <c r="W78" s="33"/>
      <c r="X78" s="33"/>
      <c r="Y78" s="33"/>
      <c r="Z78" s="33"/>
      <c r="AA78" s="33"/>
      <c r="AB78" s="33"/>
      <c r="AC78" s="26"/>
      <c r="AD78" s="50"/>
      <c r="AE78" s="26"/>
    </row>
    <row r="79" spans="1:31" s="51" customFormat="1" ht="30" customHeight="1">
      <c r="A79" s="33"/>
      <c r="B79" s="33"/>
      <c r="C79" s="33"/>
      <c r="D79" s="33"/>
      <c r="E79" s="33"/>
      <c r="F79" s="33"/>
      <c r="G79" s="33"/>
      <c r="H79" s="34"/>
      <c r="I79" s="35"/>
      <c r="J79" s="36"/>
      <c r="K79" s="33"/>
      <c r="L79" s="33"/>
      <c r="M79" s="33"/>
      <c r="N79" s="37"/>
      <c r="O79" s="33"/>
      <c r="P79" s="33"/>
      <c r="Q79" s="38"/>
      <c r="R79" s="39"/>
      <c r="S79" s="40"/>
      <c r="T79" s="40"/>
      <c r="U79" s="33"/>
      <c r="V79" s="41"/>
      <c r="W79" s="33"/>
      <c r="X79" s="33"/>
      <c r="Y79" s="33"/>
      <c r="Z79" s="33"/>
      <c r="AA79" s="33"/>
      <c r="AB79" s="33"/>
      <c r="AC79" s="26"/>
      <c r="AD79" s="50"/>
      <c r="AE79" s="26"/>
    </row>
    <row r="80" spans="1:31" s="51" customFormat="1" ht="30" customHeight="1">
      <c r="A80" s="33"/>
      <c r="B80" s="33"/>
      <c r="C80" s="33"/>
      <c r="D80" s="33"/>
      <c r="E80" s="33"/>
      <c r="F80" s="33"/>
      <c r="G80" s="33"/>
      <c r="H80" s="34"/>
      <c r="I80" s="35"/>
      <c r="J80" s="36"/>
      <c r="K80" s="33"/>
      <c r="L80" s="33"/>
      <c r="M80" s="33"/>
      <c r="N80" s="37"/>
      <c r="O80" s="33"/>
      <c r="P80" s="33"/>
      <c r="Q80" s="38"/>
      <c r="R80" s="39"/>
      <c r="S80" s="40"/>
      <c r="T80" s="40"/>
      <c r="U80" s="33"/>
      <c r="V80" s="41"/>
      <c r="W80" s="33"/>
      <c r="X80" s="33"/>
      <c r="Y80" s="33"/>
      <c r="Z80" s="33"/>
      <c r="AA80" s="33"/>
      <c r="AB80" s="33"/>
      <c r="AC80" s="26"/>
      <c r="AD80" s="50"/>
      <c r="AE80" s="26"/>
    </row>
    <row r="81" spans="1:31" s="51" customFormat="1" ht="30" customHeight="1">
      <c r="A81" s="33"/>
      <c r="B81" s="33"/>
      <c r="C81" s="33"/>
      <c r="D81" s="33"/>
      <c r="E81" s="33"/>
      <c r="F81" s="33"/>
      <c r="G81" s="33"/>
      <c r="H81" s="34"/>
      <c r="I81" s="35"/>
      <c r="J81" s="36"/>
      <c r="K81" s="33"/>
      <c r="L81" s="33"/>
      <c r="M81" s="33"/>
      <c r="N81" s="37"/>
      <c r="O81" s="33"/>
      <c r="P81" s="33"/>
      <c r="Q81" s="38"/>
      <c r="R81" s="39"/>
      <c r="S81" s="40"/>
      <c r="T81" s="40"/>
      <c r="U81" s="33"/>
      <c r="V81" s="41"/>
      <c r="W81" s="33"/>
      <c r="X81" s="33"/>
      <c r="Y81" s="33"/>
      <c r="Z81" s="33"/>
      <c r="AA81" s="33"/>
      <c r="AB81" s="33"/>
      <c r="AC81" s="26"/>
      <c r="AD81" s="50"/>
      <c r="AE81" s="26"/>
    </row>
    <row r="82" spans="1:31" s="51" customFormat="1" ht="30" customHeight="1">
      <c r="A82" s="33"/>
      <c r="B82" s="33"/>
      <c r="C82" s="33"/>
      <c r="D82" s="33"/>
      <c r="E82" s="33"/>
      <c r="F82" s="33"/>
      <c r="G82" s="33"/>
      <c r="H82" s="34"/>
      <c r="I82" s="35"/>
      <c r="J82" s="36"/>
      <c r="K82" s="33"/>
      <c r="L82" s="33"/>
      <c r="M82" s="33"/>
      <c r="N82" s="37"/>
      <c r="O82" s="33"/>
      <c r="P82" s="33"/>
      <c r="Q82" s="38"/>
      <c r="R82" s="39"/>
      <c r="S82" s="40"/>
      <c r="T82" s="40"/>
      <c r="U82" s="33"/>
      <c r="V82" s="41"/>
      <c r="W82" s="33"/>
      <c r="X82" s="33"/>
      <c r="Y82" s="33"/>
      <c r="Z82" s="33"/>
      <c r="AA82" s="33"/>
      <c r="AB82" s="33"/>
      <c r="AC82" s="26"/>
      <c r="AD82" s="50"/>
      <c r="AE82" s="26"/>
    </row>
    <row r="83" spans="1:31" s="51" customFormat="1" ht="30" customHeight="1">
      <c r="A83" s="33"/>
      <c r="B83" s="33"/>
      <c r="C83" s="33"/>
      <c r="D83" s="33"/>
      <c r="E83" s="33"/>
      <c r="F83" s="33"/>
      <c r="G83" s="33"/>
      <c r="H83" s="34"/>
      <c r="I83" s="35"/>
      <c r="J83" s="36"/>
      <c r="K83" s="33"/>
      <c r="L83" s="33"/>
      <c r="M83" s="33"/>
      <c r="N83" s="37"/>
      <c r="O83" s="33"/>
      <c r="P83" s="33"/>
      <c r="Q83" s="38"/>
      <c r="R83" s="39"/>
      <c r="S83" s="40"/>
      <c r="T83" s="40"/>
      <c r="U83" s="33"/>
      <c r="V83" s="41"/>
      <c r="W83" s="33"/>
      <c r="X83" s="33"/>
      <c r="Y83" s="33"/>
      <c r="Z83" s="33"/>
      <c r="AA83" s="33"/>
      <c r="AB83" s="33"/>
      <c r="AC83" s="26"/>
      <c r="AD83" s="50"/>
      <c r="AE83" s="26"/>
    </row>
    <row r="84" spans="1:31" s="51" customFormat="1" ht="30" customHeight="1">
      <c r="A84" s="33"/>
      <c r="B84" s="33"/>
      <c r="C84" s="33"/>
      <c r="D84" s="33"/>
      <c r="E84" s="33"/>
      <c r="F84" s="33"/>
      <c r="G84" s="33"/>
      <c r="H84" s="34"/>
      <c r="I84" s="35"/>
      <c r="J84" s="36"/>
      <c r="K84" s="33"/>
      <c r="L84" s="33"/>
      <c r="M84" s="33"/>
      <c r="N84" s="37"/>
      <c r="O84" s="33"/>
      <c r="P84" s="33"/>
      <c r="Q84" s="38"/>
      <c r="R84" s="39"/>
      <c r="S84" s="40"/>
      <c r="T84" s="40"/>
      <c r="U84" s="33"/>
      <c r="V84" s="41"/>
      <c r="W84" s="33"/>
      <c r="X84" s="33"/>
      <c r="Y84" s="33"/>
      <c r="Z84" s="33"/>
      <c r="AA84" s="33"/>
      <c r="AB84" s="33"/>
      <c r="AC84" s="26"/>
      <c r="AD84" s="50"/>
      <c r="AE84" s="26"/>
    </row>
    <row r="85" spans="1:31" s="51" customFormat="1" ht="30" customHeight="1">
      <c r="A85" s="33"/>
      <c r="B85" s="33"/>
      <c r="C85" s="33"/>
      <c r="D85" s="33"/>
      <c r="E85" s="33"/>
      <c r="F85" s="33"/>
      <c r="G85" s="33"/>
      <c r="H85" s="34"/>
      <c r="I85" s="35"/>
      <c r="J85" s="36"/>
      <c r="K85" s="33"/>
      <c r="L85" s="33"/>
      <c r="M85" s="33"/>
      <c r="N85" s="37"/>
      <c r="O85" s="33"/>
      <c r="P85" s="33"/>
      <c r="Q85" s="38"/>
      <c r="R85" s="39"/>
      <c r="S85" s="40"/>
      <c r="T85" s="40"/>
      <c r="U85" s="33"/>
      <c r="V85" s="41"/>
      <c r="W85" s="33"/>
      <c r="X85" s="33"/>
      <c r="Y85" s="33"/>
      <c r="Z85" s="33"/>
      <c r="AA85" s="33"/>
      <c r="AB85" s="33"/>
      <c r="AC85" s="26"/>
      <c r="AD85" s="50"/>
      <c r="AE85" s="26"/>
    </row>
    <row r="86" spans="1:31" s="51" customFormat="1" ht="30" customHeight="1">
      <c r="A86" s="33"/>
      <c r="B86" s="33"/>
      <c r="C86" s="33"/>
      <c r="D86" s="33"/>
      <c r="E86" s="33"/>
      <c r="F86" s="33"/>
      <c r="G86" s="33"/>
      <c r="H86" s="34"/>
      <c r="I86" s="35"/>
      <c r="J86" s="36"/>
      <c r="K86" s="33"/>
      <c r="L86" s="33"/>
      <c r="M86" s="33"/>
      <c r="N86" s="37"/>
      <c r="O86" s="33"/>
      <c r="P86" s="33"/>
      <c r="Q86" s="38"/>
      <c r="R86" s="39"/>
      <c r="S86" s="40"/>
      <c r="T86" s="40"/>
      <c r="U86" s="33"/>
      <c r="V86" s="41"/>
      <c r="W86" s="33"/>
      <c r="X86" s="33"/>
      <c r="Y86" s="33"/>
      <c r="Z86" s="33"/>
      <c r="AA86" s="33"/>
      <c r="AB86" s="33"/>
      <c r="AC86" s="26"/>
      <c r="AD86" s="50"/>
      <c r="AE86" s="26"/>
    </row>
    <row r="87" spans="1:31" s="51" customFormat="1" ht="15" customHeight="1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</row>
    <row r="88" spans="1:31" s="51" customFormat="1" ht="15" customHeight="1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42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</row>
    <row r="89" spans="1:31" s="51" customFormat="1" ht="37.5" customHeight="1">
      <c r="A89" s="26"/>
      <c r="B89" s="26"/>
      <c r="C89" s="26"/>
      <c r="D89" s="26"/>
      <c r="E89" s="26"/>
      <c r="F89" s="26"/>
      <c r="G89" s="26"/>
      <c r="H89" s="42" t="s">
        <v>95</v>
      </c>
      <c r="I89" s="42" t="s">
        <v>96</v>
      </c>
      <c r="J89" s="26"/>
      <c r="K89" s="26"/>
      <c r="L89" s="26"/>
      <c r="M89" s="26"/>
      <c r="N89" s="26"/>
      <c r="O89" s="26"/>
      <c r="P89" s="26"/>
      <c r="Q89" s="26"/>
      <c r="R89" s="43" t="s">
        <v>97</v>
      </c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</row>
    <row r="90" spans="1:31" s="51" customFormat="1" ht="37.5" customHeight="1">
      <c r="A90" s="26"/>
      <c r="B90" s="26"/>
      <c r="C90" s="26"/>
      <c r="D90" s="26"/>
      <c r="E90" s="26"/>
      <c r="F90" s="26"/>
      <c r="G90" s="26"/>
      <c r="H90" s="44" t="s">
        <v>98</v>
      </c>
      <c r="I90" s="44" t="s">
        <v>87</v>
      </c>
      <c r="J90" s="26"/>
      <c r="K90" s="26"/>
      <c r="L90" s="26"/>
      <c r="M90" s="26"/>
      <c r="N90" s="26"/>
      <c r="O90" s="26"/>
      <c r="P90" s="26"/>
      <c r="Q90" s="26"/>
      <c r="R90" s="42" t="s">
        <v>99</v>
      </c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</row>
    <row r="91" spans="1:31" s="51" customFormat="1" ht="37.5" customHeight="1">
      <c r="A91" s="26"/>
      <c r="B91" s="26"/>
      <c r="C91" s="26"/>
      <c r="D91" s="26"/>
      <c r="E91" s="26"/>
      <c r="F91" s="26"/>
      <c r="G91" s="26"/>
      <c r="H91" s="44" t="s">
        <v>88</v>
      </c>
      <c r="I91" s="44" t="s">
        <v>89</v>
      </c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</row>
    <row r="92" spans="1:31" s="51" customFormat="1" ht="30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s="51" customFormat="1" ht="15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s="51" customFormat="1" ht="15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s="51" customFormat="1" ht="37.5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s="51" customFormat="1" ht="37.5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s="51" customFormat="1" ht="37.5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s="51" customFormat="1" ht="30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s="51" customFormat="1" ht="15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 s="51" customFormat="1" ht="15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 s="51" customFormat="1" ht="37.5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 s="51" customFormat="1" ht="37.5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 s="51" customFormat="1" ht="37.5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 s="51" customFormat="1" ht="30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 s="51" customFormat="1" ht="30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 s="51" customFormat="1" ht="30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 s="51" customFormat="1" ht="30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 s="51" customFormat="1" ht="30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 s="51" customFormat="1" ht="30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 s="51" customFormat="1" ht="30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 s="51" customFormat="1" ht="30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 s="51" customFormat="1" ht="30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 s="51" customFormat="1" ht="30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 s="51" customFormat="1" ht="30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 s="51" customFormat="1" ht="30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 s="51" customFormat="1" ht="30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 s="51" customFormat="1" ht="15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 s="51" customFormat="1" ht="15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 s="51" customFormat="1" ht="37.5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 s="51" customFormat="1" ht="37.5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 s="51" customFormat="1" ht="37.5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 s="51" customFormat="1" ht="30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 s="51" customFormat="1" ht="30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 s="51" customFormat="1" ht="30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 s="51" customFormat="1" ht="30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 s="51" customFormat="1" ht="30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 s="51" customFormat="1" ht="30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 s="51" customFormat="1" ht="30" customHeigh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 s="51" customFormat="1" ht="30" customHeigh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 s="51" customFormat="1" ht="30" customHeigh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 s="51" customFormat="1" ht="30" customHeigh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 s="51" customFormat="1" ht="30" customHeigh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s="51" customFormat="1" ht="30" customHeigh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 s="51" customFormat="1" ht="30" customHeigh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 s="51" customFormat="1" ht="30" customHeigh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 s="51" customFormat="1" ht="30" customHeigh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 s="51" customFormat="1" ht="30" customHeigh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 s="51" customFormat="1" ht="30" customHeigh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 s="51" customFormat="1" ht="30" customHeigh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 s="51" customFormat="1" ht="30" customHeigh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 s="51" customFormat="1" ht="15" customHeigh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 s="51" customFormat="1" ht="15" customHeigh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 s="51" customFormat="1" ht="37.5" customHeigh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 s="51" customFormat="1" ht="37.5" customHeigh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 s="51" customFormat="1" ht="37.5" customHeigh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 s="51" customFormat="1" ht="30" customHeigh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 s="51" customFormat="1" ht="30" customHeigh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 s="51" customFormat="1" ht="30" customHeigh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 s="51" customFormat="1" ht="15" customHeigh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s="51" customFormat="1" ht="15" customHeigh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 s="51" customFormat="1" ht="37.5" customHeigh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 s="51" customFormat="1" ht="37.5" customHeigh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 s="51" customFormat="1" ht="37.5" customHeigh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 s="51" customFormat="1" ht="37.5" customHeigh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 s="51" customFormat="1" ht="37.5" customHeigh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 s="51" customFormat="1" ht="30" customHeigh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 s="51" customFormat="1" ht="30" customHeigh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 s="51" customFormat="1" ht="30" customHeigh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 s="51" customFormat="1" ht="30" customHeigh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 s="51" customFormat="1" ht="30" customHeigh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 s="51" customFormat="1" ht="30" customHeigh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 s="51" customFormat="1" ht="30" customHeigh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 s="51" customFormat="1" ht="30" customHeigh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 s="51" customFormat="1" ht="30" customHeigh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 s="51" customFormat="1" ht="30" customHeigh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 s="51" customFormat="1" ht="30" customHeigh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 s="51" customFormat="1" ht="30" customHeigh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 s="51" customFormat="1" ht="30" customHeigh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 s="51" customFormat="1" ht="15" customHeigh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 s="51" customFormat="1" ht="15" customHeigh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 s="51" customFormat="1" ht="37.5" customHeigh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 s="51" customFormat="1" ht="37.5" customHeigh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 ht="37.5" customHeigh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 ht="30" customHeigh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 ht="30" customHeigh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 ht="30" customHeigh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 ht="30" customHeigh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 ht="30" customHeigh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 ht="30" customHeigh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 ht="30" customHeigh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 ht="30" customHeigh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 ht="30" customHeigh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 ht="30" customHeigh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 ht="30" customHeigh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 ht="30" customHeigh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 ht="30" customHeigh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 ht="15" customHeigh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 ht="15" customHeigh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 ht="37.5" customHeigh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 ht="37.5" customHeigh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 ht="37.5" customHeigh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 ht="30" customHeigh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 ht="30" customHeigh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 ht="30" customHeigh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 ht="30" customHeigh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 ht="30" customHeigh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 ht="30" customHeigh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 ht="30" customHeigh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 ht="30" customHeigh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 ht="30" customHeigh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 ht="30" customHeigh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 ht="30" customHeigh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 ht="30" customHeigh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 ht="15" customHeigh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 ht="15" customHeigh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 ht="37.5" customHeigh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 ht="37.5" customHeigh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 ht="37.5" customHeigh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 ht="30" customHeigh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 ht="30" customHeigh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 ht="30" customHeigh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 ht="30" customHeigh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 ht="30" customHeigh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 ht="30" customHeigh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 ht="30" customHeigh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 ht="30" customHeigh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 ht="30" customHeigh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 ht="30" customHeigh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 ht="30" customHeigh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 ht="30" customHeigh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 ht="15" customHeigh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 ht="15" customHeigh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 ht="37.5" customHeigh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 ht="37.5" customHeigh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 ht="37.5" customHeigh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 ht="30" customHeigh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 ht="30" customHeigh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 ht="30" customHeigh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 ht="30" customHeigh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 ht="30" customHeigh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 ht="30" customHeigh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 ht="30" customHeigh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 ht="30" customHeigh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 ht="30" customHeigh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 ht="30" customHeigh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 ht="30" customHeigh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 ht="30" customHeigh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 ht="15" customHeigh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 ht="15" customHeigh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 ht="37.5" customHeigh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 ht="37.5" customHeigh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 ht="37.5" customHeigh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</sheetData>
  <autoFilter ref="A1:AE1" xr:uid="{B0D5D478-0BF9-4E8E-8260-A21B25B1E28C}"/>
  <phoneticPr fontId="2" type="noConversion"/>
  <conditionalFormatting sqref="I2:I86">
    <cfRule type="cellIs" dxfId="66" priority="7" operator="equal">
      <formula>"GI12577"</formula>
    </cfRule>
    <cfRule type="cellIs" dxfId="65" priority="8" operator="equal">
      <formula>"GI12063"</formula>
    </cfRule>
  </conditionalFormatting>
  <conditionalFormatting sqref="R88:R90">
    <cfRule type="cellIs" dxfId="64" priority="5" operator="equal">
      <formula>"GI12577"</formula>
    </cfRule>
    <cfRule type="cellIs" dxfId="63" priority="6" operator="equal">
      <formula>"GI12063"</formula>
    </cfRule>
  </conditionalFormatting>
  <conditionalFormatting sqref="H89:I89">
    <cfRule type="cellIs" dxfId="62" priority="3" operator="equal">
      <formula>"GI12577"</formula>
    </cfRule>
    <cfRule type="cellIs" dxfId="61" priority="4" operator="equal">
      <formula>"GI12063"</formula>
    </cfRule>
  </conditionalFormatting>
  <conditionalFormatting sqref="I90:I91">
    <cfRule type="cellIs" dxfId="60" priority="1" operator="equal">
      <formula>"GI12577"</formula>
    </cfRule>
    <cfRule type="cellIs" dxfId="59" priority="2" operator="equal">
      <formula>"GI12063"</formula>
    </cfRule>
  </conditionalFormatting>
  <conditionalFormatting sqref="J10:J8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4418-354C-452E-9C04-7182E799C06F}">
  <sheetPr codeName="Planilha8">
    <tabColor rgb="FF7030A0"/>
  </sheetPr>
  <dimension ref="A1:C10"/>
  <sheetViews>
    <sheetView zoomScale="130" zoomScaleNormal="130" workbookViewId="0">
      <selection activeCell="C8" sqref="C8"/>
    </sheetView>
  </sheetViews>
  <sheetFormatPr defaultRowHeight="15"/>
  <cols>
    <col min="1" max="1" width="15.28515625" customWidth="1"/>
    <col min="2" max="2" width="13.85546875" bestFit="1" customWidth="1"/>
    <col min="3" max="3" width="15.42578125" bestFit="1" customWidth="1"/>
  </cols>
  <sheetData>
    <row r="1" spans="1:3">
      <c r="A1" s="46" t="s">
        <v>104</v>
      </c>
      <c r="B1" s="47" t="s">
        <v>105</v>
      </c>
      <c r="C1" s="47" t="s">
        <v>106</v>
      </c>
    </row>
    <row r="2" spans="1:3">
      <c r="A2" s="48" t="s">
        <v>136</v>
      </c>
      <c r="B2" s="9" t="s">
        <v>163</v>
      </c>
      <c r="C2" s="9" t="s">
        <v>169</v>
      </c>
    </row>
    <row r="3" spans="1:3">
      <c r="A3" s="48" t="s">
        <v>142</v>
      </c>
      <c r="B3" s="9" t="s">
        <v>164</v>
      </c>
      <c r="C3" s="9" t="s">
        <v>170</v>
      </c>
    </row>
    <row r="4" spans="1:3">
      <c r="A4" s="48" t="s">
        <v>147</v>
      </c>
      <c r="B4" s="9" t="s">
        <v>165</v>
      </c>
      <c r="C4" s="9" t="s">
        <v>171</v>
      </c>
    </row>
    <row r="5" spans="1:3">
      <c r="A5" s="48" t="s">
        <v>151</v>
      </c>
      <c r="B5" s="9" t="s">
        <v>166</v>
      </c>
      <c r="C5" s="9" t="s">
        <v>172</v>
      </c>
    </row>
    <row r="6" spans="1:3">
      <c r="A6" s="48" t="s">
        <v>155</v>
      </c>
      <c r="B6" s="9" t="s">
        <v>167</v>
      </c>
      <c r="C6" s="9" t="s">
        <v>173</v>
      </c>
    </row>
    <row r="7" spans="1:3">
      <c r="A7" s="48" t="s">
        <v>159</v>
      </c>
      <c r="B7" s="9" t="s">
        <v>168</v>
      </c>
      <c r="C7" s="9" t="s">
        <v>174</v>
      </c>
    </row>
    <row r="8" spans="1:3">
      <c r="A8" s="48"/>
      <c r="B8" s="9"/>
      <c r="C8" s="3"/>
    </row>
    <row r="9" spans="1:3">
      <c r="A9" s="3"/>
      <c r="B9" s="3"/>
      <c r="C9" s="3"/>
    </row>
    <row r="10" spans="1:3">
      <c r="A10" s="3"/>
      <c r="B10" s="3"/>
      <c r="C10" s="3"/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53744-BB0D-4F15-B602-EA3C8A8A9965}">
  <sheetPr codeName="Planilha1"/>
  <dimension ref="C1:G10"/>
  <sheetViews>
    <sheetView zoomScale="85" zoomScaleNormal="85" workbookViewId="0">
      <selection activeCell="D18" sqref="D18"/>
    </sheetView>
  </sheetViews>
  <sheetFormatPr defaultRowHeight="15"/>
  <cols>
    <col min="1" max="1" width="28" customWidth="1"/>
    <col min="2" max="2" width="28.28515625" customWidth="1"/>
    <col min="3" max="3" width="29" bestFit="1" customWidth="1"/>
    <col min="4" max="4" width="19.7109375" bestFit="1" customWidth="1"/>
    <col min="5" max="5" width="19.42578125" bestFit="1" customWidth="1"/>
    <col min="6" max="6" width="24.7109375" bestFit="1" customWidth="1"/>
    <col min="7" max="7" width="24.42578125" bestFit="1" customWidth="1"/>
  </cols>
  <sheetData>
    <row r="1" spans="3:7">
      <c r="C1" s="10" t="s">
        <v>0</v>
      </c>
      <c r="D1" t="s">
        <v>175</v>
      </c>
    </row>
    <row r="3" spans="3:7">
      <c r="D3" s="10" t="s">
        <v>100</v>
      </c>
    </row>
    <row r="4" spans="3:7">
      <c r="D4" t="s">
        <v>103</v>
      </c>
      <c r="F4" t="s">
        <v>177</v>
      </c>
      <c r="G4" t="s">
        <v>178</v>
      </c>
    </row>
    <row r="5" spans="3:7">
      <c r="C5" s="10" t="s">
        <v>101</v>
      </c>
      <c r="D5" t="s">
        <v>176</v>
      </c>
      <c r="E5" t="s">
        <v>179</v>
      </c>
    </row>
    <row r="6" spans="3:7">
      <c r="C6" s="11" t="s">
        <v>135</v>
      </c>
    </row>
    <row r="7" spans="3:7">
      <c r="C7" s="45" t="s">
        <v>151</v>
      </c>
    </row>
    <row r="8" spans="3:7">
      <c r="C8" s="45" t="s">
        <v>155</v>
      </c>
    </row>
    <row r="9" spans="3:7">
      <c r="C9" s="45" t="s">
        <v>159</v>
      </c>
    </row>
    <row r="10" spans="3:7">
      <c r="C10" s="11" t="s">
        <v>102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63B0-89C3-41A3-A950-AB45BCFDF144}">
  <sheetPr codeName="Planilha4"/>
  <dimension ref="C3:G9"/>
  <sheetViews>
    <sheetView workbookViewId="0">
      <selection activeCell="G25" sqref="G25"/>
    </sheetView>
  </sheetViews>
  <sheetFormatPr defaultRowHeight="15"/>
  <cols>
    <col min="1" max="1" width="27.7109375" customWidth="1"/>
    <col min="2" max="2" width="28.140625" customWidth="1"/>
    <col min="3" max="3" width="18" bestFit="1" customWidth="1"/>
    <col min="4" max="4" width="19.7109375" bestFit="1" customWidth="1"/>
    <col min="5" max="5" width="19.42578125" bestFit="1" customWidth="1"/>
    <col min="6" max="6" width="24.7109375" bestFit="1" customWidth="1"/>
    <col min="7" max="7" width="24.42578125" bestFit="1" customWidth="1"/>
  </cols>
  <sheetData>
    <row r="3" spans="3:7">
      <c r="D3" s="10" t="s">
        <v>100</v>
      </c>
    </row>
    <row r="4" spans="3:7">
      <c r="D4" t="s">
        <v>103</v>
      </c>
      <c r="F4" t="s">
        <v>177</v>
      </c>
      <c r="G4" t="s">
        <v>178</v>
      </c>
    </row>
    <row r="5" spans="3:7">
      <c r="C5" s="10" t="s">
        <v>101</v>
      </c>
      <c r="D5" t="s">
        <v>176</v>
      </c>
      <c r="E5" t="s">
        <v>179</v>
      </c>
    </row>
    <row r="6" spans="3:7">
      <c r="C6" s="11" t="s">
        <v>129</v>
      </c>
    </row>
    <row r="7" spans="3:7">
      <c r="C7" s="11" t="s">
        <v>143</v>
      </c>
    </row>
    <row r="8" spans="3:7">
      <c r="C8" s="11" t="s">
        <v>138</v>
      </c>
    </row>
    <row r="9" spans="3:7">
      <c r="C9" s="11" t="s">
        <v>102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74C29-1304-43AE-9BE9-9E1CEB984AED}">
  <sheetPr codeName="Planilha12">
    <tabColor rgb="FFC00000"/>
  </sheetPr>
  <dimension ref="A1:AD91"/>
  <sheetViews>
    <sheetView tabSelected="1" zoomScale="70" zoomScaleNormal="70" workbookViewId="0">
      <selection activeCell="O14" sqref="O14"/>
    </sheetView>
  </sheetViews>
  <sheetFormatPr defaultColWidth="15.140625" defaultRowHeight="15"/>
  <cols>
    <col min="1" max="1" width="15.28515625" style="26" bestFit="1" customWidth="1"/>
    <col min="2" max="2" width="17.28515625" style="26" bestFit="1" customWidth="1"/>
    <col min="3" max="3" width="19.42578125" style="26" bestFit="1" customWidth="1"/>
    <col min="4" max="4" width="96.42578125" style="26" bestFit="1" customWidth="1"/>
    <col min="5" max="5" width="29.28515625" style="26" customWidth="1"/>
    <col min="6" max="6" width="31.5703125" style="26" bestFit="1" customWidth="1"/>
    <col min="7" max="7" width="13.140625" style="26" bestFit="1" customWidth="1"/>
    <col min="8" max="8" width="17.140625" style="26" bestFit="1" customWidth="1"/>
    <col min="9" max="9" width="12.140625" style="26" bestFit="1" customWidth="1"/>
    <col min="10" max="10" width="14.42578125" style="26" bestFit="1" customWidth="1"/>
    <col min="11" max="11" width="21.5703125" style="26" bestFit="1" customWidth="1"/>
    <col min="12" max="13" width="12.5703125" style="26" bestFit="1" customWidth="1"/>
    <col min="14" max="14" width="12" style="26" bestFit="1" customWidth="1"/>
    <col min="15" max="16" width="12.42578125" style="26" bestFit="1" customWidth="1"/>
    <col min="17" max="17" width="17.7109375" style="26" bestFit="1" customWidth="1"/>
    <col min="18" max="18" width="34" style="26" bestFit="1" customWidth="1"/>
    <col min="19" max="19" width="28.140625" style="26" bestFit="1" customWidth="1"/>
    <col min="20" max="20" width="18.140625" style="26" bestFit="1" customWidth="1"/>
    <col min="21" max="21" width="19.5703125" style="26" bestFit="1" customWidth="1"/>
    <col min="22" max="22" width="14" style="26" bestFit="1" customWidth="1"/>
    <col min="23" max="23" width="11.5703125" style="26" bestFit="1" customWidth="1"/>
    <col min="24" max="24" width="11.42578125" style="26" customWidth="1"/>
    <col min="25" max="26" width="34.28515625" style="26" bestFit="1" customWidth="1"/>
    <col min="27" max="27" width="13" style="26" bestFit="1" customWidth="1"/>
    <col min="28" max="28" width="12.42578125" style="26" bestFit="1" customWidth="1"/>
    <col min="29" max="16384" width="15.140625" style="26"/>
  </cols>
  <sheetData>
    <row r="1" spans="1:30" ht="46.5" customHeight="1">
      <c r="A1" s="69" t="s">
        <v>0</v>
      </c>
      <c r="B1" s="70" t="s">
        <v>1</v>
      </c>
      <c r="C1" s="70" t="s">
        <v>2</v>
      </c>
      <c r="D1" s="70" t="s">
        <v>3</v>
      </c>
      <c r="E1" s="70" t="s">
        <v>4</v>
      </c>
      <c r="F1" s="70" t="s">
        <v>5</v>
      </c>
      <c r="G1" s="70" t="s">
        <v>6</v>
      </c>
      <c r="H1" s="70" t="s">
        <v>7</v>
      </c>
      <c r="I1" s="70" t="s">
        <v>81</v>
      </c>
      <c r="J1" s="70" t="s">
        <v>8</v>
      </c>
      <c r="K1" s="70" t="s">
        <v>9</v>
      </c>
      <c r="L1" s="71" t="s">
        <v>10</v>
      </c>
      <c r="M1" s="71" t="s">
        <v>11</v>
      </c>
      <c r="N1" s="71" t="s">
        <v>12</v>
      </c>
      <c r="O1" s="72" t="s">
        <v>13</v>
      </c>
      <c r="P1" s="72" t="s">
        <v>14</v>
      </c>
      <c r="Q1" s="72" t="s">
        <v>15</v>
      </c>
      <c r="R1" s="70" t="s">
        <v>16</v>
      </c>
      <c r="S1" s="70" t="s">
        <v>108</v>
      </c>
      <c r="T1" s="70" t="s">
        <v>17</v>
      </c>
      <c r="U1" s="70" t="s">
        <v>18</v>
      </c>
      <c r="V1" s="70" t="s">
        <v>19</v>
      </c>
      <c r="W1" s="70" t="s">
        <v>90</v>
      </c>
      <c r="X1" s="73" t="s">
        <v>91</v>
      </c>
      <c r="Y1" s="70" t="s">
        <v>92</v>
      </c>
      <c r="Z1" s="70" t="s">
        <v>93</v>
      </c>
      <c r="AA1" s="70" t="s">
        <v>21</v>
      </c>
      <c r="AB1" s="74" t="s">
        <v>22</v>
      </c>
      <c r="AD1" s="49" t="s">
        <v>94</v>
      </c>
    </row>
    <row r="2" spans="1:30" ht="63" customHeight="1">
      <c r="A2" s="63" t="s">
        <v>129</v>
      </c>
      <c r="B2" s="63" t="s">
        <v>148</v>
      </c>
      <c r="C2" s="63" t="s">
        <v>149</v>
      </c>
      <c r="D2" s="63" t="s">
        <v>150</v>
      </c>
      <c r="E2" s="63" t="s">
        <v>133</v>
      </c>
      <c r="F2" s="63" t="s">
        <v>134</v>
      </c>
      <c r="G2" s="63">
        <v>8</v>
      </c>
      <c r="H2" s="63" t="s">
        <v>135</v>
      </c>
      <c r="I2" s="64" t="s">
        <v>151</v>
      </c>
      <c r="J2" s="65"/>
      <c r="K2" s="63"/>
      <c r="L2" s="66"/>
      <c r="M2" s="66"/>
      <c r="N2" s="63"/>
      <c r="O2" s="67"/>
      <c r="P2" s="67"/>
      <c r="Q2" s="68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D2" s="26" t="s">
        <v>107</v>
      </c>
    </row>
    <row r="3" spans="1:30" ht="63" customHeight="1">
      <c r="A3" s="63" t="s">
        <v>138</v>
      </c>
      <c r="B3" s="27" t="s">
        <v>152</v>
      </c>
      <c r="C3" s="27" t="s">
        <v>153</v>
      </c>
      <c r="D3" s="27" t="s">
        <v>154</v>
      </c>
      <c r="E3" s="27" t="s">
        <v>133</v>
      </c>
      <c r="F3" s="27" t="s">
        <v>134</v>
      </c>
      <c r="G3" s="27">
        <v>8</v>
      </c>
      <c r="H3" s="27" t="s">
        <v>135</v>
      </c>
      <c r="I3" s="28" t="s">
        <v>155</v>
      </c>
      <c r="J3" s="29"/>
      <c r="K3" s="27"/>
      <c r="L3" s="30"/>
      <c r="M3" s="30"/>
      <c r="N3" s="27"/>
      <c r="O3" s="31"/>
      <c r="P3" s="31"/>
      <c r="Q3" s="32"/>
      <c r="R3" s="27"/>
      <c r="S3" s="27"/>
      <c r="T3" s="27"/>
      <c r="U3" s="27"/>
      <c r="V3" s="27"/>
      <c r="W3" s="27" t="str">
        <f>IF(X3="","",LEN(X3)-LEN(SUBSTITUTE(X3,CHAR(10),""))+1)</f>
        <v/>
      </c>
      <c r="X3" s="27"/>
      <c r="Y3" s="27"/>
      <c r="Z3" s="27"/>
      <c r="AA3" s="27"/>
      <c r="AB3" s="27"/>
    </row>
    <row r="4" spans="1:30" ht="63" customHeight="1">
      <c r="A4" s="63" t="s">
        <v>143</v>
      </c>
      <c r="B4" s="27" t="s">
        <v>156</v>
      </c>
      <c r="C4" s="27" t="s">
        <v>157</v>
      </c>
      <c r="D4" s="27" t="s">
        <v>158</v>
      </c>
      <c r="E4" s="27" t="s">
        <v>133</v>
      </c>
      <c r="F4" s="27" t="s">
        <v>134</v>
      </c>
      <c r="G4" s="27">
        <v>8</v>
      </c>
      <c r="H4" s="27" t="s">
        <v>135</v>
      </c>
      <c r="I4" s="28" t="s">
        <v>159</v>
      </c>
      <c r="J4" s="29"/>
      <c r="K4" s="27"/>
      <c r="L4" s="30"/>
      <c r="M4" s="30"/>
      <c r="N4" s="27"/>
      <c r="O4" s="31"/>
      <c r="P4" s="31"/>
      <c r="Q4" s="32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</row>
    <row r="5" spans="1:30" ht="63" customHeight="1">
      <c r="A5" s="63" t="s">
        <v>129</v>
      </c>
      <c r="B5" s="27" t="s">
        <v>148</v>
      </c>
      <c r="C5" s="27" t="s">
        <v>149</v>
      </c>
      <c r="D5" s="27" t="s">
        <v>150</v>
      </c>
      <c r="E5" s="27" t="s">
        <v>133</v>
      </c>
      <c r="F5" s="27" t="s">
        <v>134</v>
      </c>
      <c r="G5" s="27">
        <v>8</v>
      </c>
      <c r="H5" s="27" t="s">
        <v>135</v>
      </c>
      <c r="I5" s="28" t="s">
        <v>151</v>
      </c>
      <c r="J5" s="29"/>
      <c r="K5" s="27"/>
      <c r="L5" s="30"/>
      <c r="M5" s="30"/>
      <c r="N5" s="27"/>
      <c r="O5" s="31"/>
      <c r="P5" s="31"/>
      <c r="Q5" s="32"/>
      <c r="R5" s="27"/>
      <c r="S5" s="27"/>
      <c r="T5" s="27"/>
      <c r="U5" s="27"/>
      <c r="V5" s="27"/>
      <c r="W5" s="27" t="str">
        <f t="shared" ref="W5:W7" si="0">IF(X5="","",LEN(X5)-LEN(SUBSTITUTE(X5,CHAR(10),""))+1)</f>
        <v/>
      </c>
      <c r="X5" s="27"/>
      <c r="Y5" s="27"/>
      <c r="Z5" s="27"/>
      <c r="AA5" s="27"/>
      <c r="AB5" s="27"/>
    </row>
    <row r="6" spans="1:30" ht="63" customHeight="1">
      <c r="A6" s="63" t="s">
        <v>138</v>
      </c>
      <c r="B6" s="27" t="s">
        <v>152</v>
      </c>
      <c r="C6" s="27" t="s">
        <v>153</v>
      </c>
      <c r="D6" s="27" t="s">
        <v>154</v>
      </c>
      <c r="E6" s="27" t="s">
        <v>133</v>
      </c>
      <c r="F6" s="27" t="s">
        <v>134</v>
      </c>
      <c r="G6" s="27">
        <v>8</v>
      </c>
      <c r="H6" s="27" t="s">
        <v>135</v>
      </c>
      <c r="I6" s="28" t="s">
        <v>155</v>
      </c>
      <c r="J6" s="29"/>
      <c r="K6" s="27"/>
      <c r="L6" s="30"/>
      <c r="M6" s="30"/>
      <c r="N6" s="27"/>
      <c r="O6" s="31"/>
      <c r="P6" s="31"/>
      <c r="Q6" s="32"/>
      <c r="R6" s="27"/>
      <c r="S6" s="27"/>
      <c r="T6" s="27"/>
      <c r="U6" s="27"/>
      <c r="V6" s="27"/>
      <c r="W6" s="27" t="str">
        <f t="shared" si="0"/>
        <v/>
      </c>
      <c r="X6" s="27"/>
      <c r="Y6" s="27"/>
      <c r="Z6" s="27"/>
      <c r="AA6" s="27"/>
      <c r="AB6" s="27"/>
    </row>
    <row r="7" spans="1:30" ht="63" customHeight="1">
      <c r="A7" s="63" t="s">
        <v>143</v>
      </c>
      <c r="B7" s="27" t="s">
        <v>156</v>
      </c>
      <c r="C7" s="27" t="s">
        <v>157</v>
      </c>
      <c r="D7" s="27" t="s">
        <v>158</v>
      </c>
      <c r="E7" s="27" t="s">
        <v>133</v>
      </c>
      <c r="F7" s="27" t="s">
        <v>134</v>
      </c>
      <c r="G7" s="27">
        <v>8</v>
      </c>
      <c r="H7" s="27" t="s">
        <v>135</v>
      </c>
      <c r="I7" s="28" t="s">
        <v>159</v>
      </c>
      <c r="J7" s="29"/>
      <c r="K7" s="27"/>
      <c r="L7" s="30"/>
      <c r="M7" s="30"/>
      <c r="N7" s="27"/>
      <c r="O7" s="31"/>
      <c r="P7" s="31"/>
      <c r="Q7" s="32"/>
      <c r="R7" s="27"/>
      <c r="S7" s="27"/>
      <c r="T7" s="27"/>
      <c r="U7" s="27"/>
      <c r="V7" s="27"/>
      <c r="W7" s="27" t="str">
        <f t="shared" si="0"/>
        <v/>
      </c>
      <c r="X7" s="27"/>
      <c r="Y7" s="27"/>
      <c r="Z7" s="27"/>
      <c r="AA7" s="27"/>
      <c r="AB7" s="27"/>
    </row>
    <row r="8" spans="1:30" ht="63" customHeight="1">
      <c r="A8" s="63" t="s">
        <v>138</v>
      </c>
      <c r="B8" s="27" t="s">
        <v>152</v>
      </c>
      <c r="C8" s="27" t="s">
        <v>153</v>
      </c>
      <c r="D8" s="27" t="s">
        <v>154</v>
      </c>
      <c r="E8" s="27" t="s">
        <v>133</v>
      </c>
      <c r="F8" s="27" t="s">
        <v>134</v>
      </c>
      <c r="G8" s="27">
        <v>8</v>
      </c>
      <c r="H8" s="27" t="s">
        <v>135</v>
      </c>
      <c r="I8" s="28" t="s">
        <v>155</v>
      </c>
      <c r="J8" s="29"/>
      <c r="K8" s="27"/>
      <c r="L8" s="30"/>
      <c r="M8" s="30"/>
      <c r="N8" s="27"/>
      <c r="O8" s="31"/>
      <c r="P8" s="31"/>
      <c r="Q8" s="32"/>
      <c r="R8" s="27"/>
      <c r="S8" s="27"/>
      <c r="T8" s="27"/>
      <c r="U8" s="27"/>
      <c r="V8" s="27"/>
      <c r="W8" s="27" t="s">
        <v>162</v>
      </c>
      <c r="X8" s="27"/>
      <c r="Y8" s="27"/>
      <c r="Z8" s="27"/>
      <c r="AA8" s="27"/>
      <c r="AB8" s="27"/>
    </row>
    <row r="9" spans="1:30" ht="63" customHeight="1">
      <c r="A9" s="27" t="s">
        <v>138</v>
      </c>
      <c r="B9" s="27" t="s">
        <v>152</v>
      </c>
      <c r="C9" s="27" t="s">
        <v>153</v>
      </c>
      <c r="D9" s="27" t="s">
        <v>154</v>
      </c>
      <c r="E9" s="52" t="s">
        <v>133</v>
      </c>
      <c r="F9" s="27" t="s">
        <v>134</v>
      </c>
      <c r="G9" s="27">
        <v>8</v>
      </c>
      <c r="H9" s="27" t="s">
        <v>135</v>
      </c>
      <c r="I9" s="28" t="s">
        <v>155</v>
      </c>
      <c r="J9" s="29"/>
      <c r="K9" s="27"/>
      <c r="L9" s="30"/>
      <c r="M9" s="30"/>
      <c r="N9" s="27"/>
      <c r="O9" s="54"/>
      <c r="P9" s="31"/>
      <c r="Q9" s="32"/>
      <c r="R9" s="27"/>
      <c r="S9" s="27"/>
      <c r="T9" s="27"/>
      <c r="U9" s="27"/>
      <c r="V9" s="27"/>
      <c r="W9" s="27" t="s">
        <v>162</v>
      </c>
      <c r="X9" s="27"/>
      <c r="Y9" s="27"/>
      <c r="Z9" s="27"/>
      <c r="AA9" s="52"/>
      <c r="AB9" s="27"/>
    </row>
    <row r="10" spans="1:30" ht="63" customHeight="1">
      <c r="A10" s="53"/>
      <c r="B10" s="53"/>
      <c r="C10" s="53"/>
      <c r="D10" s="53"/>
      <c r="E10" s="53"/>
      <c r="F10" s="53"/>
      <c r="G10" s="53"/>
      <c r="H10" s="55"/>
      <c r="I10" s="56"/>
      <c r="J10" s="57"/>
      <c r="K10" s="53"/>
      <c r="L10" s="53"/>
      <c r="M10" s="53"/>
      <c r="N10" s="58"/>
      <c r="O10" s="53"/>
      <c r="P10" s="53"/>
      <c r="Q10" s="59"/>
      <c r="R10" s="60"/>
      <c r="S10" s="61"/>
      <c r="T10" s="61"/>
      <c r="U10" s="53"/>
      <c r="V10" s="62"/>
      <c r="W10" s="53"/>
      <c r="X10" s="53"/>
      <c r="Y10" s="53"/>
      <c r="Z10" s="53"/>
      <c r="AA10" s="53"/>
      <c r="AB10" s="53"/>
      <c r="AD10" s="50"/>
    </row>
    <row r="11" spans="1:30" ht="63" customHeight="1">
      <c r="A11" s="33"/>
      <c r="B11" s="33"/>
      <c r="C11" s="33"/>
      <c r="D11" s="33"/>
      <c r="E11" s="33"/>
      <c r="F11" s="33"/>
      <c r="G11" s="33"/>
      <c r="H11" s="34"/>
      <c r="I11" s="35"/>
      <c r="J11" s="36"/>
      <c r="K11" s="33"/>
      <c r="L11" s="33"/>
      <c r="M11" s="33"/>
      <c r="N11" s="37"/>
      <c r="O11" s="33"/>
      <c r="P11" s="33"/>
      <c r="Q11" s="38"/>
      <c r="R11" s="39"/>
      <c r="S11" s="40"/>
      <c r="T11" s="40"/>
      <c r="U11" s="33"/>
      <c r="V11" s="41"/>
      <c r="W11" s="33"/>
      <c r="X11" s="33"/>
      <c r="Y11" s="33"/>
      <c r="Z11" s="33"/>
      <c r="AA11" s="33"/>
      <c r="AB11" s="33"/>
      <c r="AD11" s="50"/>
    </row>
    <row r="12" spans="1:30" ht="63" customHeight="1">
      <c r="A12" s="33"/>
      <c r="B12" s="33"/>
      <c r="C12" s="33"/>
      <c r="D12" s="33"/>
      <c r="E12" s="33"/>
      <c r="F12" s="33"/>
      <c r="G12" s="33"/>
      <c r="H12" s="34"/>
      <c r="I12" s="35"/>
      <c r="J12" s="36"/>
      <c r="K12" s="33"/>
      <c r="L12" s="33"/>
      <c r="M12" s="33"/>
      <c r="N12" s="37"/>
      <c r="O12" s="33"/>
      <c r="P12" s="33"/>
      <c r="Q12" s="38"/>
      <c r="R12" s="39"/>
      <c r="S12" s="40"/>
      <c r="T12" s="40"/>
      <c r="U12" s="33"/>
      <c r="V12" s="41"/>
      <c r="W12" s="33"/>
      <c r="X12" s="33"/>
      <c r="Y12" s="33"/>
      <c r="Z12" s="33"/>
      <c r="AA12" s="33"/>
      <c r="AB12" s="33"/>
      <c r="AD12" s="50"/>
    </row>
    <row r="13" spans="1:30" ht="63" customHeight="1">
      <c r="A13" s="33"/>
      <c r="B13" s="33"/>
      <c r="C13" s="33"/>
      <c r="D13" s="33"/>
      <c r="E13" s="33"/>
      <c r="F13" s="33"/>
      <c r="G13" s="33"/>
      <c r="H13" s="34"/>
      <c r="I13" s="35"/>
      <c r="J13" s="36"/>
      <c r="K13" s="33"/>
      <c r="L13" s="33"/>
      <c r="M13" s="33"/>
      <c r="N13" s="37"/>
      <c r="O13" s="33"/>
      <c r="P13" s="33"/>
      <c r="Q13" s="38"/>
      <c r="R13" s="39"/>
      <c r="S13" s="40"/>
      <c r="T13" s="40"/>
      <c r="U13" s="33"/>
      <c r="V13" s="41"/>
      <c r="W13" s="33"/>
      <c r="X13" s="33"/>
      <c r="Y13" s="33"/>
      <c r="Z13" s="33"/>
      <c r="AA13" s="33"/>
      <c r="AB13" s="33"/>
      <c r="AD13" s="50"/>
    </row>
    <row r="14" spans="1:30" ht="63" customHeight="1">
      <c r="A14" s="33"/>
      <c r="B14" s="33"/>
      <c r="C14" s="33"/>
      <c r="D14" s="33"/>
      <c r="E14" s="33"/>
      <c r="F14" s="33"/>
      <c r="G14" s="33"/>
      <c r="H14" s="34"/>
      <c r="I14" s="35"/>
      <c r="J14" s="36"/>
      <c r="K14" s="33"/>
      <c r="L14" s="33"/>
      <c r="M14" s="33"/>
      <c r="N14" s="37"/>
      <c r="O14" s="33"/>
      <c r="P14" s="33"/>
      <c r="Q14" s="38"/>
      <c r="R14" s="39"/>
      <c r="S14" s="40"/>
      <c r="T14" s="40"/>
      <c r="U14" s="33"/>
      <c r="V14" s="41"/>
      <c r="W14" s="33"/>
      <c r="X14" s="33"/>
      <c r="Y14" s="33"/>
      <c r="Z14" s="33"/>
      <c r="AA14" s="33"/>
      <c r="AB14" s="33"/>
      <c r="AD14" s="50"/>
    </row>
    <row r="15" spans="1:30" ht="63" customHeight="1">
      <c r="A15" s="33"/>
      <c r="B15" s="33"/>
      <c r="C15" s="33"/>
      <c r="D15" s="33"/>
      <c r="E15" s="33"/>
      <c r="F15" s="33"/>
      <c r="G15" s="33"/>
      <c r="H15" s="34"/>
      <c r="I15" s="35"/>
      <c r="J15" s="36"/>
      <c r="K15" s="33"/>
      <c r="L15" s="33"/>
      <c r="M15" s="33"/>
      <c r="N15" s="37"/>
      <c r="O15" s="33"/>
      <c r="P15" s="33"/>
      <c r="Q15" s="38"/>
      <c r="R15" s="39"/>
      <c r="S15" s="40"/>
      <c r="T15" s="40"/>
      <c r="U15" s="33"/>
      <c r="V15" s="41"/>
      <c r="W15" s="33"/>
      <c r="X15" s="33"/>
      <c r="Y15" s="33"/>
      <c r="Z15" s="33"/>
      <c r="AA15" s="33"/>
      <c r="AB15" s="33"/>
      <c r="AD15" s="50"/>
    </row>
    <row r="16" spans="1:30" ht="63" customHeight="1">
      <c r="A16" s="33"/>
      <c r="B16" s="33"/>
      <c r="C16" s="33"/>
      <c r="D16" s="33"/>
      <c r="E16" s="33"/>
      <c r="F16" s="33"/>
      <c r="G16" s="33"/>
      <c r="H16" s="34"/>
      <c r="I16" s="35"/>
      <c r="J16" s="36"/>
      <c r="K16" s="33"/>
      <c r="L16" s="33"/>
      <c r="M16" s="33"/>
      <c r="N16" s="37"/>
      <c r="O16" s="33"/>
      <c r="P16" s="33"/>
      <c r="Q16" s="38"/>
      <c r="R16" s="39"/>
      <c r="S16" s="40"/>
      <c r="T16" s="40"/>
      <c r="U16" s="33"/>
      <c r="V16" s="41"/>
      <c r="W16" s="33"/>
      <c r="X16" s="33"/>
      <c r="Y16" s="33"/>
      <c r="Z16" s="33"/>
      <c r="AA16" s="33"/>
      <c r="AB16" s="33"/>
      <c r="AD16" s="50"/>
    </row>
    <row r="17" spans="1:30" ht="63" customHeight="1">
      <c r="A17" s="33"/>
      <c r="B17" s="33"/>
      <c r="C17" s="33"/>
      <c r="D17" s="33"/>
      <c r="E17" s="33"/>
      <c r="F17" s="33"/>
      <c r="G17" s="33"/>
      <c r="H17" s="34"/>
      <c r="I17" s="35"/>
      <c r="J17" s="36"/>
      <c r="K17" s="33"/>
      <c r="L17" s="33"/>
      <c r="M17" s="33"/>
      <c r="N17" s="37"/>
      <c r="O17" s="33"/>
      <c r="P17" s="33"/>
      <c r="Q17" s="38"/>
      <c r="R17" s="39"/>
      <c r="S17" s="40"/>
      <c r="T17" s="40"/>
      <c r="U17" s="33"/>
      <c r="V17" s="41"/>
      <c r="W17" s="33"/>
      <c r="X17" s="33"/>
      <c r="Y17" s="33"/>
      <c r="Z17" s="33"/>
      <c r="AA17" s="33"/>
      <c r="AB17" s="33"/>
      <c r="AD17" s="50"/>
    </row>
    <row r="18" spans="1:30" ht="63" customHeight="1">
      <c r="A18" s="33"/>
      <c r="B18" s="33"/>
      <c r="C18" s="33"/>
      <c r="D18" s="33"/>
      <c r="E18" s="33"/>
      <c r="F18" s="33"/>
      <c r="G18" s="33"/>
      <c r="H18" s="34"/>
      <c r="I18" s="35"/>
      <c r="J18" s="36"/>
      <c r="K18" s="33"/>
      <c r="L18" s="33"/>
      <c r="M18" s="33"/>
      <c r="N18" s="37"/>
      <c r="O18" s="33"/>
      <c r="P18" s="33"/>
      <c r="Q18" s="38"/>
      <c r="R18" s="39"/>
      <c r="S18" s="40"/>
      <c r="T18" s="40"/>
      <c r="U18" s="33"/>
      <c r="V18" s="41"/>
      <c r="W18" s="33"/>
      <c r="X18" s="33"/>
      <c r="Y18" s="33"/>
      <c r="Z18" s="33"/>
      <c r="AA18" s="33"/>
      <c r="AB18" s="33"/>
      <c r="AD18" s="50"/>
    </row>
    <row r="19" spans="1:30" ht="63" customHeight="1">
      <c r="A19" s="33"/>
      <c r="B19" s="33"/>
      <c r="C19" s="33"/>
      <c r="D19" s="33"/>
      <c r="E19" s="33"/>
      <c r="F19" s="33"/>
      <c r="G19" s="33"/>
      <c r="H19" s="34"/>
      <c r="I19" s="35"/>
      <c r="J19" s="36"/>
      <c r="K19" s="33"/>
      <c r="L19" s="33"/>
      <c r="M19" s="33"/>
      <c r="N19" s="37"/>
      <c r="O19" s="33"/>
      <c r="P19" s="33"/>
      <c r="Q19" s="38"/>
      <c r="R19" s="39"/>
      <c r="S19" s="40"/>
      <c r="T19" s="40"/>
      <c r="U19" s="33"/>
      <c r="V19" s="41"/>
      <c r="W19" s="33"/>
      <c r="X19" s="33"/>
      <c r="Y19" s="33"/>
      <c r="Z19" s="33"/>
      <c r="AA19" s="33"/>
      <c r="AB19" s="33"/>
      <c r="AD19" s="50"/>
    </row>
    <row r="20" spans="1:30" ht="63" customHeight="1">
      <c r="A20" s="33"/>
      <c r="B20" s="33"/>
      <c r="C20" s="33"/>
      <c r="D20" s="33"/>
      <c r="E20" s="33"/>
      <c r="F20" s="33"/>
      <c r="G20" s="33"/>
      <c r="H20" s="34"/>
      <c r="I20" s="35"/>
      <c r="J20" s="36"/>
      <c r="K20" s="33"/>
      <c r="L20" s="33"/>
      <c r="M20" s="33"/>
      <c r="N20" s="37"/>
      <c r="O20" s="33"/>
      <c r="P20" s="33"/>
      <c r="Q20" s="38"/>
      <c r="R20" s="39"/>
      <c r="S20" s="40"/>
      <c r="T20" s="40"/>
      <c r="U20" s="33"/>
      <c r="V20" s="41"/>
      <c r="W20" s="33"/>
      <c r="X20" s="33"/>
      <c r="Y20" s="33"/>
      <c r="Z20" s="33"/>
      <c r="AA20" s="33"/>
      <c r="AB20" s="33"/>
      <c r="AD20" s="50"/>
    </row>
    <row r="21" spans="1:30" ht="63" customHeight="1">
      <c r="A21" s="33"/>
      <c r="B21" s="33"/>
      <c r="C21" s="33"/>
      <c r="D21" s="33"/>
      <c r="E21" s="33"/>
      <c r="F21" s="33"/>
      <c r="G21" s="33"/>
      <c r="H21" s="34"/>
      <c r="I21" s="35"/>
      <c r="J21" s="36"/>
      <c r="K21" s="33"/>
      <c r="L21" s="33"/>
      <c r="M21" s="33"/>
      <c r="N21" s="37"/>
      <c r="O21" s="33"/>
      <c r="P21" s="33"/>
      <c r="Q21" s="38"/>
      <c r="R21" s="39"/>
      <c r="S21" s="40"/>
      <c r="T21" s="40"/>
      <c r="U21" s="33"/>
      <c r="V21" s="41"/>
      <c r="W21" s="33"/>
      <c r="X21" s="33"/>
      <c r="Y21" s="33"/>
      <c r="Z21" s="33"/>
      <c r="AA21" s="33"/>
      <c r="AB21" s="33"/>
      <c r="AD21" s="50"/>
    </row>
    <row r="22" spans="1:30" ht="63" customHeight="1">
      <c r="A22" s="33"/>
      <c r="B22" s="33"/>
      <c r="C22" s="33"/>
      <c r="D22" s="33"/>
      <c r="E22" s="33"/>
      <c r="F22" s="33"/>
      <c r="G22" s="33"/>
      <c r="H22" s="34"/>
      <c r="I22" s="35"/>
      <c r="J22" s="36"/>
      <c r="K22" s="33"/>
      <c r="L22" s="33"/>
      <c r="M22" s="33"/>
      <c r="N22" s="37"/>
      <c r="O22" s="33"/>
      <c r="P22" s="33"/>
      <c r="Q22" s="38"/>
      <c r="R22" s="39"/>
      <c r="S22" s="40"/>
      <c r="T22" s="40"/>
      <c r="U22" s="33"/>
      <c r="V22" s="41"/>
      <c r="W22" s="33"/>
      <c r="X22" s="33"/>
      <c r="Y22" s="33"/>
      <c r="Z22" s="33"/>
      <c r="AA22" s="33"/>
      <c r="AB22" s="33"/>
      <c r="AD22" s="50"/>
    </row>
    <row r="23" spans="1:30" ht="63" customHeight="1">
      <c r="A23" s="33"/>
      <c r="B23" s="33"/>
      <c r="C23" s="33"/>
      <c r="D23" s="33"/>
      <c r="E23" s="33"/>
      <c r="F23" s="33"/>
      <c r="G23" s="33"/>
      <c r="H23" s="34"/>
      <c r="I23" s="35"/>
      <c r="J23" s="36"/>
      <c r="K23" s="33"/>
      <c r="L23" s="33"/>
      <c r="M23" s="33"/>
      <c r="N23" s="37"/>
      <c r="O23" s="33"/>
      <c r="P23" s="33"/>
      <c r="Q23" s="38"/>
      <c r="R23" s="39"/>
      <c r="S23" s="40"/>
      <c r="T23" s="40"/>
      <c r="U23" s="33"/>
      <c r="V23" s="41"/>
      <c r="W23" s="33"/>
      <c r="X23" s="33"/>
      <c r="Y23" s="33"/>
      <c r="Z23" s="33"/>
      <c r="AA23" s="33"/>
      <c r="AB23" s="33"/>
      <c r="AD23" s="50"/>
    </row>
    <row r="24" spans="1:30" ht="63" customHeight="1">
      <c r="A24" s="33"/>
      <c r="B24" s="33"/>
      <c r="C24" s="33"/>
      <c r="D24" s="33"/>
      <c r="E24" s="33"/>
      <c r="F24" s="33"/>
      <c r="G24" s="33"/>
      <c r="H24" s="34"/>
      <c r="I24" s="35"/>
      <c r="J24" s="36"/>
      <c r="K24" s="33"/>
      <c r="L24" s="33"/>
      <c r="M24" s="33"/>
      <c r="N24" s="37"/>
      <c r="O24" s="33"/>
      <c r="P24" s="33"/>
      <c r="Q24" s="38"/>
      <c r="R24" s="39"/>
      <c r="S24" s="40"/>
      <c r="T24" s="40"/>
      <c r="U24" s="33"/>
      <c r="V24" s="41"/>
      <c r="W24" s="33"/>
      <c r="X24" s="33"/>
      <c r="Y24" s="33"/>
      <c r="Z24" s="33"/>
      <c r="AA24" s="33"/>
      <c r="AB24" s="33"/>
      <c r="AD24" s="50"/>
    </row>
    <row r="25" spans="1:30" ht="63" customHeight="1">
      <c r="A25" s="33"/>
      <c r="B25" s="33"/>
      <c r="C25" s="33"/>
      <c r="D25" s="33"/>
      <c r="E25" s="33"/>
      <c r="F25" s="33"/>
      <c r="G25" s="33"/>
      <c r="H25" s="34"/>
      <c r="I25" s="35"/>
      <c r="J25" s="36"/>
      <c r="K25" s="33"/>
      <c r="L25" s="33"/>
      <c r="M25" s="33"/>
      <c r="N25" s="37"/>
      <c r="O25" s="33"/>
      <c r="P25" s="33"/>
      <c r="Q25" s="38"/>
      <c r="R25" s="39"/>
      <c r="S25" s="40"/>
      <c r="T25" s="40"/>
      <c r="U25" s="33"/>
      <c r="V25" s="41"/>
      <c r="W25" s="33"/>
      <c r="X25" s="33"/>
      <c r="Y25" s="33"/>
      <c r="Z25" s="33"/>
      <c r="AA25" s="33"/>
      <c r="AB25" s="33"/>
      <c r="AD25" s="50"/>
    </row>
    <row r="26" spans="1:30" ht="63" customHeight="1">
      <c r="A26" s="33"/>
      <c r="B26" s="33"/>
      <c r="C26" s="33"/>
      <c r="D26" s="33"/>
      <c r="E26" s="33"/>
      <c r="F26" s="33"/>
      <c r="G26" s="33"/>
      <c r="H26" s="34"/>
      <c r="I26" s="35"/>
      <c r="J26" s="36"/>
      <c r="K26" s="33"/>
      <c r="L26" s="33"/>
      <c r="M26" s="33"/>
      <c r="N26" s="37"/>
      <c r="O26" s="33"/>
      <c r="P26" s="33"/>
      <c r="Q26" s="38"/>
      <c r="R26" s="39"/>
      <c r="S26" s="40"/>
      <c r="T26" s="40"/>
      <c r="U26" s="33"/>
      <c r="V26" s="41"/>
      <c r="W26" s="33"/>
      <c r="X26" s="33"/>
      <c r="Y26" s="33"/>
      <c r="Z26" s="33"/>
      <c r="AA26" s="33"/>
      <c r="AB26" s="33"/>
      <c r="AD26" s="50"/>
    </row>
    <row r="27" spans="1:30" ht="63" customHeight="1">
      <c r="A27" s="33"/>
      <c r="B27" s="33"/>
      <c r="C27" s="33"/>
      <c r="D27" s="33"/>
      <c r="E27" s="33"/>
      <c r="F27" s="33"/>
      <c r="G27" s="33"/>
      <c r="H27" s="34"/>
      <c r="I27" s="35"/>
      <c r="J27" s="36"/>
      <c r="K27" s="33"/>
      <c r="L27" s="33"/>
      <c r="M27" s="33"/>
      <c r="N27" s="37"/>
      <c r="O27" s="33"/>
      <c r="P27" s="33"/>
      <c r="Q27" s="38"/>
      <c r="R27" s="39"/>
      <c r="S27" s="40"/>
      <c r="T27" s="40"/>
      <c r="U27" s="33"/>
      <c r="V27" s="41"/>
      <c r="W27" s="33"/>
      <c r="X27" s="33"/>
      <c r="Y27" s="33"/>
      <c r="Z27" s="33"/>
      <c r="AA27" s="33"/>
      <c r="AB27" s="33"/>
      <c r="AD27" s="50"/>
    </row>
    <row r="28" spans="1:30" ht="63" customHeight="1">
      <c r="A28" s="33"/>
      <c r="B28" s="33"/>
      <c r="C28" s="33"/>
      <c r="D28" s="33"/>
      <c r="E28" s="33"/>
      <c r="F28" s="33"/>
      <c r="G28" s="33"/>
      <c r="H28" s="34"/>
      <c r="I28" s="35"/>
      <c r="J28" s="36"/>
      <c r="K28" s="33"/>
      <c r="L28" s="33"/>
      <c r="M28" s="33"/>
      <c r="N28" s="37"/>
      <c r="O28" s="33"/>
      <c r="P28" s="33"/>
      <c r="Q28" s="38"/>
      <c r="R28" s="39"/>
      <c r="S28" s="40"/>
      <c r="T28" s="40"/>
      <c r="U28" s="33"/>
      <c r="V28" s="41"/>
      <c r="W28" s="33"/>
      <c r="X28" s="33"/>
      <c r="Y28" s="33"/>
      <c r="Z28" s="33"/>
      <c r="AA28" s="33"/>
      <c r="AB28" s="33"/>
      <c r="AD28" s="50"/>
    </row>
    <row r="29" spans="1:30" ht="63" customHeight="1">
      <c r="A29" s="33"/>
      <c r="B29" s="33"/>
      <c r="C29" s="33"/>
      <c r="D29" s="33"/>
      <c r="E29" s="33"/>
      <c r="F29" s="33"/>
      <c r="G29" s="33"/>
      <c r="H29" s="34"/>
      <c r="I29" s="35"/>
      <c r="J29" s="36"/>
      <c r="K29" s="33"/>
      <c r="L29" s="33"/>
      <c r="M29" s="33"/>
      <c r="N29" s="37"/>
      <c r="O29" s="33"/>
      <c r="P29" s="33"/>
      <c r="Q29" s="38"/>
      <c r="R29" s="39"/>
      <c r="S29" s="40"/>
      <c r="T29" s="40"/>
      <c r="U29" s="33"/>
      <c r="V29" s="41"/>
      <c r="W29" s="33"/>
      <c r="X29" s="33"/>
      <c r="Y29" s="33"/>
      <c r="Z29" s="33"/>
      <c r="AA29" s="33"/>
      <c r="AB29" s="33"/>
      <c r="AD29" s="50"/>
    </row>
    <row r="30" spans="1:30" ht="63" customHeight="1">
      <c r="A30" s="33"/>
      <c r="B30" s="33"/>
      <c r="C30" s="33"/>
      <c r="D30" s="33"/>
      <c r="E30" s="33"/>
      <c r="F30" s="33"/>
      <c r="G30" s="33"/>
      <c r="H30" s="34"/>
      <c r="I30" s="35"/>
      <c r="J30" s="36"/>
      <c r="K30" s="33"/>
      <c r="L30" s="33"/>
      <c r="M30" s="33"/>
      <c r="N30" s="37"/>
      <c r="O30" s="33"/>
      <c r="P30" s="33"/>
      <c r="Q30" s="38"/>
      <c r="R30" s="39"/>
      <c r="S30" s="40"/>
      <c r="T30" s="40"/>
      <c r="U30" s="33"/>
      <c r="V30" s="41"/>
      <c r="W30" s="33"/>
      <c r="X30" s="33"/>
      <c r="Y30" s="33"/>
      <c r="Z30" s="33"/>
      <c r="AA30" s="33"/>
      <c r="AB30" s="33"/>
      <c r="AD30" s="50"/>
    </row>
    <row r="31" spans="1:30" ht="63" customHeight="1">
      <c r="A31" s="33"/>
      <c r="B31" s="33"/>
      <c r="C31" s="33"/>
      <c r="D31" s="33"/>
      <c r="E31" s="33"/>
      <c r="F31" s="33"/>
      <c r="G31" s="33"/>
      <c r="H31" s="34"/>
      <c r="I31" s="35"/>
      <c r="J31" s="36"/>
      <c r="K31" s="33"/>
      <c r="L31" s="33"/>
      <c r="M31" s="33"/>
      <c r="N31" s="37"/>
      <c r="O31" s="33"/>
      <c r="P31" s="33"/>
      <c r="Q31" s="38"/>
      <c r="R31" s="39"/>
      <c r="S31" s="40"/>
      <c r="T31" s="40"/>
      <c r="U31" s="33"/>
      <c r="V31" s="41"/>
      <c r="W31" s="33"/>
      <c r="X31" s="33"/>
      <c r="Y31" s="33"/>
      <c r="Z31" s="33"/>
      <c r="AA31" s="33"/>
      <c r="AB31" s="33"/>
      <c r="AD31" s="50"/>
    </row>
    <row r="32" spans="1:30" ht="63" customHeight="1">
      <c r="A32" s="33"/>
      <c r="B32" s="33"/>
      <c r="C32" s="33"/>
      <c r="D32" s="33"/>
      <c r="E32" s="33"/>
      <c r="F32" s="33"/>
      <c r="G32" s="33"/>
      <c r="H32" s="34"/>
      <c r="I32" s="35"/>
      <c r="J32" s="36"/>
      <c r="K32" s="33"/>
      <c r="L32" s="33"/>
      <c r="M32" s="33"/>
      <c r="N32" s="37"/>
      <c r="O32" s="33"/>
      <c r="P32" s="33"/>
      <c r="Q32" s="38"/>
      <c r="R32" s="39"/>
      <c r="S32" s="40"/>
      <c r="T32" s="40"/>
      <c r="U32" s="33"/>
      <c r="V32" s="41"/>
      <c r="W32" s="33"/>
      <c r="X32" s="33"/>
      <c r="Y32" s="33"/>
      <c r="Z32" s="33"/>
      <c r="AA32" s="33"/>
      <c r="AB32" s="33"/>
      <c r="AD32" s="50"/>
    </row>
    <row r="33" spans="1:30" ht="63" customHeight="1">
      <c r="A33" s="33"/>
      <c r="B33" s="33"/>
      <c r="C33" s="33"/>
      <c r="D33" s="33"/>
      <c r="E33" s="33"/>
      <c r="F33" s="33"/>
      <c r="G33" s="33"/>
      <c r="H33" s="34"/>
      <c r="I33" s="35"/>
      <c r="J33" s="36"/>
      <c r="K33" s="33"/>
      <c r="L33" s="33"/>
      <c r="M33" s="33"/>
      <c r="N33" s="37"/>
      <c r="O33" s="33"/>
      <c r="P33" s="33"/>
      <c r="Q33" s="38"/>
      <c r="R33" s="39"/>
      <c r="S33" s="40"/>
      <c r="T33" s="40"/>
      <c r="U33" s="33"/>
      <c r="V33" s="41"/>
      <c r="W33" s="33"/>
      <c r="X33" s="33"/>
      <c r="Y33" s="33"/>
      <c r="Z33" s="33"/>
      <c r="AA33" s="33"/>
      <c r="AB33" s="33"/>
      <c r="AD33" s="50"/>
    </row>
    <row r="34" spans="1:30" ht="63" customHeight="1">
      <c r="A34" s="33"/>
      <c r="B34" s="33"/>
      <c r="C34" s="33"/>
      <c r="D34" s="33"/>
      <c r="E34" s="33"/>
      <c r="F34" s="33"/>
      <c r="G34" s="33"/>
      <c r="H34" s="34"/>
      <c r="I34" s="35"/>
      <c r="J34" s="36"/>
      <c r="K34" s="33"/>
      <c r="L34" s="33"/>
      <c r="M34" s="33"/>
      <c r="N34" s="37"/>
      <c r="O34" s="33"/>
      <c r="P34" s="33"/>
      <c r="Q34" s="38"/>
      <c r="R34" s="39"/>
      <c r="S34" s="40"/>
      <c r="T34" s="40"/>
      <c r="U34" s="33"/>
      <c r="V34" s="41"/>
      <c r="W34" s="33"/>
      <c r="X34" s="33"/>
      <c r="Y34" s="33"/>
      <c r="Z34" s="33"/>
      <c r="AA34" s="33"/>
      <c r="AB34" s="33"/>
      <c r="AD34" s="50"/>
    </row>
    <row r="35" spans="1:30" ht="63" customHeight="1">
      <c r="A35" s="33"/>
      <c r="B35" s="33"/>
      <c r="C35" s="33"/>
      <c r="D35" s="33"/>
      <c r="E35" s="33"/>
      <c r="F35" s="33"/>
      <c r="G35" s="33"/>
      <c r="H35" s="34"/>
      <c r="I35" s="35"/>
      <c r="J35" s="36"/>
      <c r="K35" s="33"/>
      <c r="L35" s="33"/>
      <c r="M35" s="33"/>
      <c r="N35" s="37"/>
      <c r="O35" s="33"/>
      <c r="P35" s="33"/>
      <c r="Q35" s="38"/>
      <c r="R35" s="39"/>
      <c r="S35" s="40"/>
      <c r="T35" s="40"/>
      <c r="U35" s="33"/>
      <c r="V35" s="41"/>
      <c r="W35" s="33"/>
      <c r="X35" s="33"/>
      <c r="Y35" s="33"/>
      <c r="Z35" s="33"/>
      <c r="AA35" s="33"/>
      <c r="AB35" s="33"/>
      <c r="AD35" s="50"/>
    </row>
    <row r="36" spans="1:30" ht="63" customHeight="1">
      <c r="A36" s="33"/>
      <c r="B36" s="33"/>
      <c r="C36" s="33"/>
      <c r="D36" s="33"/>
      <c r="E36" s="33"/>
      <c r="F36" s="33"/>
      <c r="G36" s="33"/>
      <c r="H36" s="34"/>
      <c r="I36" s="35"/>
      <c r="J36" s="36"/>
      <c r="K36" s="33"/>
      <c r="L36" s="33"/>
      <c r="M36" s="33"/>
      <c r="N36" s="37"/>
      <c r="O36" s="33"/>
      <c r="P36" s="33"/>
      <c r="Q36" s="38"/>
      <c r="R36" s="39"/>
      <c r="S36" s="40"/>
      <c r="T36" s="40"/>
      <c r="U36" s="33"/>
      <c r="V36" s="41"/>
      <c r="W36" s="33"/>
      <c r="X36" s="33"/>
      <c r="Y36" s="33"/>
      <c r="Z36" s="33"/>
      <c r="AA36" s="33"/>
      <c r="AB36" s="33"/>
      <c r="AD36" s="50"/>
    </row>
    <row r="37" spans="1:30" ht="63" customHeight="1">
      <c r="A37" s="33"/>
      <c r="B37" s="33"/>
      <c r="C37" s="33"/>
      <c r="D37" s="33"/>
      <c r="E37" s="33"/>
      <c r="F37" s="33"/>
      <c r="G37" s="33"/>
      <c r="H37" s="34"/>
      <c r="I37" s="35"/>
      <c r="J37" s="36"/>
      <c r="K37" s="33"/>
      <c r="L37" s="33"/>
      <c r="M37" s="33"/>
      <c r="N37" s="37"/>
      <c r="O37" s="33"/>
      <c r="P37" s="33"/>
      <c r="Q37" s="38"/>
      <c r="R37" s="39"/>
      <c r="S37" s="40"/>
      <c r="T37" s="40"/>
      <c r="U37" s="33"/>
      <c r="V37" s="41"/>
      <c r="W37" s="33"/>
      <c r="X37" s="33"/>
      <c r="Y37" s="33"/>
      <c r="Z37" s="33"/>
      <c r="AA37" s="33"/>
      <c r="AB37" s="33"/>
      <c r="AD37" s="50"/>
    </row>
    <row r="38" spans="1:30" ht="63" customHeight="1">
      <c r="A38" s="33"/>
      <c r="B38" s="33"/>
      <c r="C38" s="33"/>
      <c r="D38" s="33"/>
      <c r="E38" s="33"/>
      <c r="F38" s="33"/>
      <c r="G38" s="33"/>
      <c r="H38" s="34"/>
      <c r="I38" s="35"/>
      <c r="J38" s="36"/>
      <c r="K38" s="33"/>
      <c r="L38" s="33"/>
      <c r="M38" s="33"/>
      <c r="N38" s="37"/>
      <c r="O38" s="33"/>
      <c r="P38" s="33"/>
      <c r="Q38" s="38"/>
      <c r="R38" s="39"/>
      <c r="S38" s="40"/>
      <c r="T38" s="40"/>
      <c r="U38" s="33"/>
      <c r="V38" s="41"/>
      <c r="W38" s="33"/>
      <c r="X38" s="33"/>
      <c r="Y38" s="33"/>
      <c r="Z38" s="33"/>
      <c r="AA38" s="33"/>
      <c r="AB38" s="33"/>
      <c r="AD38" s="50"/>
    </row>
    <row r="39" spans="1:30" ht="63" customHeight="1">
      <c r="A39" s="33"/>
      <c r="B39" s="33"/>
      <c r="C39" s="33"/>
      <c r="D39" s="33"/>
      <c r="E39" s="33"/>
      <c r="F39" s="33"/>
      <c r="G39" s="33"/>
      <c r="H39" s="34"/>
      <c r="I39" s="35"/>
      <c r="J39" s="36"/>
      <c r="K39" s="33"/>
      <c r="L39" s="33"/>
      <c r="M39" s="33"/>
      <c r="N39" s="37"/>
      <c r="O39" s="33"/>
      <c r="P39" s="33"/>
      <c r="Q39" s="38"/>
      <c r="R39" s="39"/>
      <c r="S39" s="40"/>
      <c r="T39" s="40"/>
      <c r="U39" s="33"/>
      <c r="V39" s="41"/>
      <c r="W39" s="33"/>
      <c r="X39" s="33"/>
      <c r="Y39" s="33"/>
      <c r="Z39" s="33"/>
      <c r="AA39" s="33"/>
      <c r="AB39" s="33"/>
      <c r="AD39" s="50"/>
    </row>
    <row r="40" spans="1:30" ht="63" customHeight="1">
      <c r="A40" s="33"/>
      <c r="B40" s="33"/>
      <c r="C40" s="33"/>
      <c r="D40" s="33"/>
      <c r="E40" s="33"/>
      <c r="F40" s="33"/>
      <c r="G40" s="33"/>
      <c r="H40" s="34"/>
      <c r="I40" s="35"/>
      <c r="J40" s="36"/>
      <c r="K40" s="33"/>
      <c r="L40" s="33"/>
      <c r="M40" s="33"/>
      <c r="N40" s="37"/>
      <c r="O40" s="33"/>
      <c r="P40" s="33"/>
      <c r="Q40" s="38"/>
      <c r="R40" s="39"/>
      <c r="S40" s="40"/>
      <c r="T40" s="40"/>
      <c r="U40" s="33"/>
      <c r="V40" s="41"/>
      <c r="W40" s="33"/>
      <c r="X40" s="33"/>
      <c r="Y40" s="33"/>
      <c r="Z40" s="33"/>
      <c r="AA40" s="33"/>
      <c r="AB40" s="33"/>
      <c r="AD40" s="50"/>
    </row>
    <row r="41" spans="1:30" ht="63" customHeight="1">
      <c r="A41" s="33"/>
      <c r="B41" s="33"/>
      <c r="C41" s="33"/>
      <c r="D41" s="33"/>
      <c r="E41" s="33"/>
      <c r="F41" s="33"/>
      <c r="G41" s="33"/>
      <c r="H41" s="34"/>
      <c r="I41" s="35"/>
      <c r="J41" s="36"/>
      <c r="K41" s="33"/>
      <c r="L41" s="33"/>
      <c r="M41" s="33"/>
      <c r="N41" s="37"/>
      <c r="O41" s="33"/>
      <c r="P41" s="33"/>
      <c r="Q41" s="38"/>
      <c r="R41" s="39"/>
      <c r="S41" s="40"/>
      <c r="T41" s="40"/>
      <c r="U41" s="33"/>
      <c r="V41" s="41"/>
      <c r="W41" s="33"/>
      <c r="X41" s="33"/>
      <c r="Y41" s="33"/>
      <c r="Z41" s="33"/>
      <c r="AA41" s="33"/>
      <c r="AB41" s="33"/>
      <c r="AD41" s="50"/>
    </row>
    <row r="42" spans="1:30" ht="63" customHeight="1">
      <c r="A42" s="33"/>
      <c r="B42" s="33"/>
      <c r="C42" s="33"/>
      <c r="D42" s="33"/>
      <c r="E42" s="33"/>
      <c r="F42" s="33"/>
      <c r="G42" s="33"/>
      <c r="H42" s="34"/>
      <c r="I42" s="35"/>
      <c r="J42" s="36"/>
      <c r="K42" s="33"/>
      <c r="L42" s="33"/>
      <c r="M42" s="33"/>
      <c r="N42" s="37"/>
      <c r="O42" s="33"/>
      <c r="P42" s="33"/>
      <c r="Q42" s="38"/>
      <c r="R42" s="39"/>
      <c r="S42" s="40"/>
      <c r="T42" s="40"/>
      <c r="U42" s="33"/>
      <c r="V42" s="41"/>
      <c r="W42" s="33"/>
      <c r="X42" s="33"/>
      <c r="Y42" s="33"/>
      <c r="Z42" s="33"/>
      <c r="AA42" s="33"/>
      <c r="AB42" s="33"/>
      <c r="AD42" s="50"/>
    </row>
    <row r="43" spans="1:30" ht="63" customHeight="1">
      <c r="A43" s="33"/>
      <c r="B43" s="33"/>
      <c r="C43" s="33"/>
      <c r="D43" s="33"/>
      <c r="E43" s="33"/>
      <c r="F43" s="33"/>
      <c r="G43" s="33"/>
      <c r="H43" s="34"/>
      <c r="I43" s="35"/>
      <c r="J43" s="36"/>
      <c r="K43" s="33"/>
      <c r="L43" s="33"/>
      <c r="M43" s="33"/>
      <c r="N43" s="37"/>
      <c r="O43" s="33"/>
      <c r="P43" s="33"/>
      <c r="Q43" s="38"/>
      <c r="R43" s="39"/>
      <c r="S43" s="40"/>
      <c r="T43" s="40"/>
      <c r="U43" s="33"/>
      <c r="V43" s="41"/>
      <c r="W43" s="33"/>
      <c r="X43" s="33"/>
      <c r="Y43" s="33"/>
      <c r="Z43" s="33"/>
      <c r="AA43" s="33"/>
      <c r="AB43" s="33"/>
      <c r="AD43" s="50"/>
    </row>
    <row r="44" spans="1:30" ht="63" customHeight="1">
      <c r="A44" s="33"/>
      <c r="B44" s="33"/>
      <c r="C44" s="33"/>
      <c r="D44" s="33"/>
      <c r="E44" s="33"/>
      <c r="F44" s="33"/>
      <c r="G44" s="33"/>
      <c r="H44" s="34"/>
      <c r="I44" s="35"/>
      <c r="J44" s="36"/>
      <c r="K44" s="33"/>
      <c r="L44" s="33"/>
      <c r="M44" s="33"/>
      <c r="N44" s="37"/>
      <c r="O44" s="33"/>
      <c r="P44" s="33"/>
      <c r="Q44" s="38"/>
      <c r="R44" s="39"/>
      <c r="S44" s="40"/>
      <c r="T44" s="40"/>
      <c r="U44" s="33"/>
      <c r="V44" s="41"/>
      <c r="W44" s="33"/>
      <c r="X44" s="33"/>
      <c r="Y44" s="33"/>
      <c r="Z44" s="33"/>
      <c r="AA44" s="33"/>
      <c r="AB44" s="33"/>
      <c r="AD44" s="50"/>
    </row>
    <row r="45" spans="1:30" ht="63" customHeight="1">
      <c r="A45" s="33"/>
      <c r="B45" s="33"/>
      <c r="C45" s="33"/>
      <c r="D45" s="33"/>
      <c r="E45" s="33"/>
      <c r="F45" s="33"/>
      <c r="G45" s="33"/>
      <c r="H45" s="34"/>
      <c r="I45" s="35"/>
      <c r="J45" s="36"/>
      <c r="K45" s="33"/>
      <c r="L45" s="33"/>
      <c r="M45" s="33"/>
      <c r="N45" s="37"/>
      <c r="O45" s="33"/>
      <c r="P45" s="33"/>
      <c r="Q45" s="38"/>
      <c r="R45" s="39"/>
      <c r="S45" s="40"/>
      <c r="T45" s="40"/>
      <c r="U45" s="33"/>
      <c r="V45" s="41"/>
      <c r="W45" s="33"/>
      <c r="X45" s="33"/>
      <c r="Y45" s="33"/>
      <c r="Z45" s="33"/>
      <c r="AA45" s="33"/>
      <c r="AB45" s="33"/>
      <c r="AD45" s="50"/>
    </row>
    <row r="46" spans="1:30" ht="63" customHeight="1">
      <c r="A46" s="33"/>
      <c r="B46" s="33"/>
      <c r="C46" s="33"/>
      <c r="D46" s="33"/>
      <c r="E46" s="33"/>
      <c r="F46" s="33"/>
      <c r="G46" s="33"/>
      <c r="H46" s="34"/>
      <c r="I46" s="35"/>
      <c r="J46" s="36"/>
      <c r="K46" s="33"/>
      <c r="L46" s="33"/>
      <c r="M46" s="33"/>
      <c r="N46" s="37"/>
      <c r="O46" s="33"/>
      <c r="P46" s="33"/>
      <c r="Q46" s="38"/>
      <c r="R46" s="39"/>
      <c r="S46" s="40"/>
      <c r="T46" s="40"/>
      <c r="U46" s="33"/>
      <c r="V46" s="41"/>
      <c r="W46" s="33"/>
      <c r="X46" s="33"/>
      <c r="Y46" s="33"/>
      <c r="Z46" s="33"/>
      <c r="AA46" s="33"/>
      <c r="AB46" s="33"/>
      <c r="AD46" s="50"/>
    </row>
    <row r="47" spans="1:30" ht="63" customHeight="1">
      <c r="A47" s="33"/>
      <c r="B47" s="33"/>
      <c r="C47" s="33"/>
      <c r="D47" s="33"/>
      <c r="E47" s="33"/>
      <c r="F47" s="33"/>
      <c r="G47" s="33"/>
      <c r="H47" s="34"/>
      <c r="I47" s="35"/>
      <c r="J47" s="36"/>
      <c r="K47" s="33"/>
      <c r="L47" s="33"/>
      <c r="M47" s="33"/>
      <c r="N47" s="37"/>
      <c r="O47" s="33"/>
      <c r="P47" s="33"/>
      <c r="Q47" s="38"/>
      <c r="R47" s="39"/>
      <c r="S47" s="40"/>
      <c r="T47" s="40"/>
      <c r="U47" s="33"/>
      <c r="V47" s="41"/>
      <c r="W47" s="33"/>
      <c r="X47" s="33"/>
      <c r="Y47" s="33"/>
      <c r="Z47" s="33"/>
      <c r="AA47" s="33"/>
      <c r="AB47" s="33"/>
      <c r="AD47" s="50"/>
    </row>
    <row r="48" spans="1:30" ht="63" customHeight="1">
      <c r="A48" s="33"/>
      <c r="B48" s="33"/>
      <c r="C48" s="33"/>
      <c r="D48" s="33"/>
      <c r="E48" s="33"/>
      <c r="F48" s="33"/>
      <c r="G48" s="33"/>
      <c r="H48" s="34"/>
      <c r="I48" s="35"/>
      <c r="J48" s="36"/>
      <c r="K48" s="33"/>
      <c r="L48" s="33"/>
      <c r="M48" s="33"/>
      <c r="N48" s="37"/>
      <c r="O48" s="33"/>
      <c r="P48" s="33"/>
      <c r="Q48" s="38"/>
      <c r="R48" s="39"/>
      <c r="S48" s="40"/>
      <c r="T48" s="40"/>
      <c r="U48" s="33"/>
      <c r="V48" s="41"/>
      <c r="W48" s="33"/>
      <c r="X48" s="33"/>
      <c r="Y48" s="33"/>
      <c r="Z48" s="33"/>
      <c r="AA48" s="33"/>
      <c r="AB48" s="33"/>
      <c r="AD48" s="50"/>
    </row>
    <row r="49" spans="1:30" ht="63" customHeight="1">
      <c r="A49" s="33"/>
      <c r="B49" s="33"/>
      <c r="C49" s="33"/>
      <c r="D49" s="33"/>
      <c r="E49" s="33"/>
      <c r="F49" s="33"/>
      <c r="G49" s="33"/>
      <c r="H49" s="34"/>
      <c r="I49" s="35"/>
      <c r="J49" s="36"/>
      <c r="K49" s="33"/>
      <c r="L49" s="33"/>
      <c r="M49" s="33"/>
      <c r="N49" s="37"/>
      <c r="O49" s="33"/>
      <c r="P49" s="33"/>
      <c r="Q49" s="38"/>
      <c r="R49" s="39"/>
      <c r="S49" s="40"/>
      <c r="T49" s="40"/>
      <c r="U49" s="33"/>
      <c r="V49" s="41"/>
      <c r="W49" s="33"/>
      <c r="X49" s="33"/>
      <c r="Y49" s="33"/>
      <c r="Z49" s="33"/>
      <c r="AA49" s="33"/>
      <c r="AB49" s="33"/>
      <c r="AD49" s="50"/>
    </row>
    <row r="50" spans="1:30" ht="63" customHeight="1">
      <c r="A50" s="33"/>
      <c r="B50" s="33"/>
      <c r="C50" s="33"/>
      <c r="D50" s="33"/>
      <c r="E50" s="33"/>
      <c r="F50" s="33"/>
      <c r="G50" s="33"/>
      <c r="H50" s="34"/>
      <c r="I50" s="35"/>
      <c r="J50" s="36"/>
      <c r="K50" s="33"/>
      <c r="L50" s="33"/>
      <c r="M50" s="33"/>
      <c r="N50" s="37"/>
      <c r="O50" s="33"/>
      <c r="P50" s="33"/>
      <c r="Q50" s="38"/>
      <c r="R50" s="39"/>
      <c r="S50" s="40"/>
      <c r="T50" s="40"/>
      <c r="U50" s="33"/>
      <c r="V50" s="41"/>
      <c r="W50" s="33"/>
      <c r="X50" s="33"/>
      <c r="Y50" s="33"/>
      <c r="Z50" s="33"/>
      <c r="AA50" s="33"/>
      <c r="AB50" s="33"/>
      <c r="AD50" s="50"/>
    </row>
    <row r="51" spans="1:30" ht="63" customHeight="1">
      <c r="A51" s="33"/>
      <c r="B51" s="33"/>
      <c r="C51" s="33"/>
      <c r="D51" s="33"/>
      <c r="E51" s="33"/>
      <c r="F51" s="33"/>
      <c r="G51" s="33"/>
      <c r="H51" s="34"/>
      <c r="I51" s="35"/>
      <c r="J51" s="36"/>
      <c r="K51" s="33"/>
      <c r="L51" s="33"/>
      <c r="M51" s="33"/>
      <c r="N51" s="37"/>
      <c r="O51" s="33"/>
      <c r="P51" s="33"/>
      <c r="Q51" s="38"/>
      <c r="R51" s="39"/>
      <c r="S51" s="40"/>
      <c r="T51" s="40"/>
      <c r="U51" s="33"/>
      <c r="V51" s="41"/>
      <c r="W51" s="33"/>
      <c r="X51" s="33"/>
      <c r="Y51" s="33"/>
      <c r="Z51" s="33"/>
      <c r="AA51" s="33"/>
      <c r="AB51" s="33"/>
      <c r="AD51" s="50"/>
    </row>
    <row r="52" spans="1:30" ht="63" customHeight="1">
      <c r="A52" s="33"/>
      <c r="B52" s="33"/>
      <c r="C52" s="33"/>
      <c r="D52" s="33"/>
      <c r="E52" s="33"/>
      <c r="F52" s="33"/>
      <c r="G52" s="33"/>
      <c r="H52" s="34"/>
      <c r="I52" s="35"/>
      <c r="J52" s="36"/>
      <c r="K52" s="33"/>
      <c r="L52" s="33"/>
      <c r="M52" s="33"/>
      <c r="N52" s="37"/>
      <c r="O52" s="33"/>
      <c r="P52" s="33"/>
      <c r="Q52" s="38"/>
      <c r="R52" s="39"/>
      <c r="S52" s="40"/>
      <c r="T52" s="40"/>
      <c r="U52" s="33"/>
      <c r="V52" s="41"/>
      <c r="W52" s="33"/>
      <c r="X52" s="33"/>
      <c r="Y52" s="33"/>
      <c r="Z52" s="33"/>
      <c r="AA52" s="33"/>
      <c r="AB52" s="33"/>
      <c r="AD52" s="50"/>
    </row>
    <row r="53" spans="1:30" ht="63" customHeight="1">
      <c r="A53" s="33"/>
      <c r="B53" s="33"/>
      <c r="C53" s="33"/>
      <c r="D53" s="33"/>
      <c r="E53" s="33"/>
      <c r="F53" s="33"/>
      <c r="G53" s="33"/>
      <c r="H53" s="34"/>
      <c r="I53" s="35"/>
      <c r="J53" s="36"/>
      <c r="K53" s="33"/>
      <c r="L53" s="33"/>
      <c r="M53" s="33"/>
      <c r="N53" s="37"/>
      <c r="O53" s="33"/>
      <c r="P53" s="33"/>
      <c r="Q53" s="38"/>
      <c r="R53" s="39"/>
      <c r="S53" s="40"/>
      <c r="T53" s="40"/>
      <c r="U53" s="33"/>
      <c r="V53" s="41"/>
      <c r="W53" s="33"/>
      <c r="X53" s="33"/>
      <c r="Y53" s="33"/>
      <c r="Z53" s="33"/>
      <c r="AA53" s="33"/>
      <c r="AB53" s="33"/>
      <c r="AD53" s="50"/>
    </row>
    <row r="54" spans="1:30" ht="63" customHeight="1">
      <c r="A54" s="33"/>
      <c r="B54" s="33"/>
      <c r="C54" s="33"/>
      <c r="D54" s="33"/>
      <c r="E54" s="33"/>
      <c r="F54" s="33"/>
      <c r="G54" s="33"/>
      <c r="H54" s="34"/>
      <c r="I54" s="35"/>
      <c r="J54" s="36"/>
      <c r="K54" s="33"/>
      <c r="L54" s="33"/>
      <c r="M54" s="33"/>
      <c r="N54" s="37"/>
      <c r="O54" s="33"/>
      <c r="P54" s="33"/>
      <c r="Q54" s="38"/>
      <c r="R54" s="39"/>
      <c r="S54" s="40"/>
      <c r="T54" s="40"/>
      <c r="U54" s="33"/>
      <c r="V54" s="41"/>
      <c r="W54" s="33"/>
      <c r="X54" s="33"/>
      <c r="Y54" s="33"/>
      <c r="Z54" s="33"/>
      <c r="AA54" s="33"/>
      <c r="AB54" s="33"/>
      <c r="AD54" s="50"/>
    </row>
    <row r="55" spans="1:30" ht="63" customHeight="1">
      <c r="A55" s="33"/>
      <c r="B55" s="33"/>
      <c r="C55" s="33"/>
      <c r="D55" s="33"/>
      <c r="E55" s="33"/>
      <c r="F55" s="33"/>
      <c r="G55" s="33"/>
      <c r="H55" s="34"/>
      <c r="I55" s="35"/>
      <c r="J55" s="36"/>
      <c r="K55" s="33"/>
      <c r="L55" s="33"/>
      <c r="M55" s="33"/>
      <c r="N55" s="37"/>
      <c r="O55" s="33"/>
      <c r="P55" s="33"/>
      <c r="Q55" s="38"/>
      <c r="R55" s="39"/>
      <c r="S55" s="40"/>
      <c r="T55" s="40"/>
      <c r="U55" s="33"/>
      <c r="V55" s="41"/>
      <c r="W55" s="33"/>
      <c r="X55" s="33"/>
      <c r="Y55" s="33"/>
      <c r="Z55" s="33"/>
      <c r="AA55" s="33"/>
      <c r="AB55" s="33"/>
      <c r="AD55" s="50"/>
    </row>
    <row r="56" spans="1:30" ht="30" customHeight="1">
      <c r="A56" s="33"/>
      <c r="B56" s="33"/>
      <c r="C56" s="33"/>
      <c r="D56" s="33"/>
      <c r="E56" s="33"/>
      <c r="F56" s="33"/>
      <c r="G56" s="33"/>
      <c r="H56" s="34"/>
      <c r="I56" s="35"/>
      <c r="J56" s="36"/>
      <c r="K56" s="33"/>
      <c r="L56" s="33"/>
      <c r="M56" s="33"/>
      <c r="N56" s="37"/>
      <c r="O56" s="33"/>
      <c r="P56" s="33"/>
      <c r="Q56" s="38"/>
      <c r="R56" s="39"/>
      <c r="S56" s="40"/>
      <c r="T56" s="40"/>
      <c r="U56" s="33"/>
      <c r="V56" s="41"/>
      <c r="W56" s="33"/>
      <c r="X56" s="33"/>
      <c r="Y56" s="33"/>
      <c r="Z56" s="33"/>
      <c r="AA56" s="33"/>
      <c r="AB56" s="33"/>
      <c r="AD56" s="50"/>
    </row>
    <row r="57" spans="1:30" ht="30" customHeight="1">
      <c r="A57" s="33"/>
      <c r="B57" s="33"/>
      <c r="C57" s="33"/>
      <c r="D57" s="33"/>
      <c r="E57" s="33"/>
      <c r="F57" s="33"/>
      <c r="G57" s="33"/>
      <c r="H57" s="34"/>
      <c r="I57" s="35"/>
      <c r="J57" s="36"/>
      <c r="K57" s="33"/>
      <c r="L57" s="33"/>
      <c r="M57" s="33"/>
      <c r="N57" s="37"/>
      <c r="O57" s="33"/>
      <c r="P57" s="33"/>
      <c r="Q57" s="38"/>
      <c r="R57" s="39"/>
      <c r="S57" s="40"/>
      <c r="T57" s="40"/>
      <c r="U57" s="33"/>
      <c r="V57" s="41"/>
      <c r="W57" s="33"/>
      <c r="X57" s="33"/>
      <c r="Y57" s="33"/>
      <c r="Z57" s="33"/>
      <c r="AA57" s="33"/>
      <c r="AB57" s="33"/>
      <c r="AD57" s="50"/>
    </row>
    <row r="58" spans="1:30" ht="30" customHeight="1">
      <c r="A58" s="33"/>
      <c r="B58" s="33"/>
      <c r="C58" s="33"/>
      <c r="D58" s="33"/>
      <c r="E58" s="33"/>
      <c r="F58" s="33"/>
      <c r="G58" s="33"/>
      <c r="H58" s="34"/>
      <c r="I58" s="35"/>
      <c r="J58" s="36"/>
      <c r="K58" s="33"/>
      <c r="L58" s="33"/>
      <c r="M58" s="33"/>
      <c r="N58" s="37"/>
      <c r="O58" s="33"/>
      <c r="P58" s="33"/>
      <c r="Q58" s="38"/>
      <c r="R58" s="39"/>
      <c r="S58" s="40"/>
      <c r="T58" s="40"/>
      <c r="U58" s="33"/>
      <c r="V58" s="41"/>
      <c r="W58" s="33"/>
      <c r="X58" s="33"/>
      <c r="Y58" s="33"/>
      <c r="Z58" s="33"/>
      <c r="AA58" s="33"/>
      <c r="AB58" s="33"/>
      <c r="AD58" s="50"/>
    </row>
    <row r="59" spans="1:30" ht="30" customHeight="1">
      <c r="A59" s="33"/>
      <c r="B59" s="33"/>
      <c r="C59" s="33"/>
      <c r="D59" s="33"/>
      <c r="E59" s="33"/>
      <c r="F59" s="33"/>
      <c r="G59" s="33"/>
      <c r="H59" s="34"/>
      <c r="I59" s="35"/>
      <c r="J59" s="36"/>
      <c r="K59" s="33"/>
      <c r="L59" s="33"/>
      <c r="M59" s="33"/>
      <c r="N59" s="37"/>
      <c r="O59" s="33"/>
      <c r="P59" s="33"/>
      <c r="Q59" s="38"/>
      <c r="R59" s="39"/>
      <c r="S59" s="40"/>
      <c r="T59" s="40"/>
      <c r="U59" s="33"/>
      <c r="V59" s="41"/>
      <c r="W59" s="33"/>
      <c r="X59" s="33"/>
      <c r="Y59" s="33"/>
      <c r="Z59" s="33"/>
      <c r="AA59" s="33"/>
      <c r="AB59" s="33"/>
      <c r="AD59" s="50"/>
    </row>
    <row r="60" spans="1:30" ht="30" customHeight="1">
      <c r="A60" s="33"/>
      <c r="B60" s="33"/>
      <c r="C60" s="33"/>
      <c r="D60" s="33"/>
      <c r="E60" s="33"/>
      <c r="F60" s="33"/>
      <c r="G60" s="33"/>
      <c r="H60" s="34"/>
      <c r="I60" s="35"/>
      <c r="J60" s="36"/>
      <c r="K60" s="33"/>
      <c r="L60" s="33"/>
      <c r="M60" s="33"/>
      <c r="N60" s="37"/>
      <c r="O60" s="33"/>
      <c r="P60" s="33"/>
      <c r="Q60" s="38"/>
      <c r="R60" s="39"/>
      <c r="S60" s="40"/>
      <c r="T60" s="40"/>
      <c r="U60" s="33"/>
      <c r="V60" s="41"/>
      <c r="W60" s="33"/>
      <c r="X60" s="33"/>
      <c r="Y60" s="33"/>
      <c r="Z60" s="33"/>
      <c r="AA60" s="33"/>
      <c r="AB60" s="33"/>
      <c r="AD60" s="50"/>
    </row>
    <row r="61" spans="1:30" ht="30" customHeight="1">
      <c r="A61" s="33"/>
      <c r="B61" s="33"/>
      <c r="C61" s="33"/>
      <c r="D61" s="33"/>
      <c r="E61" s="33"/>
      <c r="F61" s="33"/>
      <c r="G61" s="33"/>
      <c r="H61" s="34"/>
      <c r="I61" s="35"/>
      <c r="J61" s="36"/>
      <c r="K61" s="33"/>
      <c r="L61" s="33"/>
      <c r="M61" s="33"/>
      <c r="N61" s="37"/>
      <c r="O61" s="33"/>
      <c r="P61" s="33"/>
      <c r="Q61" s="38"/>
      <c r="R61" s="39"/>
      <c r="S61" s="40"/>
      <c r="T61" s="40"/>
      <c r="U61" s="33"/>
      <c r="V61" s="41"/>
      <c r="W61" s="33"/>
      <c r="X61" s="33"/>
      <c r="Y61" s="33"/>
      <c r="Z61" s="33"/>
      <c r="AA61" s="33"/>
      <c r="AB61" s="33"/>
      <c r="AD61" s="50"/>
    </row>
    <row r="62" spans="1:30" ht="30" customHeight="1">
      <c r="A62" s="33"/>
      <c r="B62" s="33"/>
      <c r="C62" s="33"/>
      <c r="D62" s="33"/>
      <c r="E62" s="33"/>
      <c r="F62" s="33"/>
      <c r="G62" s="33"/>
      <c r="H62" s="34"/>
      <c r="I62" s="35"/>
      <c r="J62" s="36"/>
      <c r="K62" s="33"/>
      <c r="L62" s="33"/>
      <c r="M62" s="33"/>
      <c r="N62" s="37"/>
      <c r="O62" s="33"/>
      <c r="P62" s="33"/>
      <c r="Q62" s="38"/>
      <c r="R62" s="39"/>
      <c r="S62" s="40"/>
      <c r="T62" s="40"/>
      <c r="U62" s="33"/>
      <c r="V62" s="41"/>
      <c r="W62" s="33"/>
      <c r="X62" s="33"/>
      <c r="Y62" s="33"/>
      <c r="Z62" s="33"/>
      <c r="AA62" s="33"/>
      <c r="AB62" s="33"/>
      <c r="AD62" s="50"/>
    </row>
    <row r="63" spans="1:30" ht="30" customHeight="1">
      <c r="A63" s="33"/>
      <c r="B63" s="33"/>
      <c r="C63" s="33"/>
      <c r="D63" s="33"/>
      <c r="E63" s="33"/>
      <c r="F63" s="33"/>
      <c r="G63" s="33"/>
      <c r="H63" s="34"/>
      <c r="I63" s="35"/>
      <c r="J63" s="36"/>
      <c r="K63" s="33"/>
      <c r="L63" s="33"/>
      <c r="M63" s="33"/>
      <c r="N63" s="37"/>
      <c r="O63" s="33"/>
      <c r="P63" s="33"/>
      <c r="Q63" s="38"/>
      <c r="R63" s="39"/>
      <c r="S63" s="40"/>
      <c r="T63" s="40"/>
      <c r="U63" s="33"/>
      <c r="V63" s="41"/>
      <c r="W63" s="33"/>
      <c r="X63" s="33"/>
      <c r="Y63" s="33"/>
      <c r="Z63" s="33"/>
      <c r="AA63" s="33"/>
      <c r="AB63" s="33"/>
      <c r="AD63" s="50"/>
    </row>
    <row r="64" spans="1:30" ht="30" customHeight="1">
      <c r="A64" s="33"/>
      <c r="B64" s="33"/>
      <c r="C64" s="33"/>
      <c r="D64" s="33"/>
      <c r="E64" s="33"/>
      <c r="F64" s="33"/>
      <c r="G64" s="33"/>
      <c r="H64" s="34"/>
      <c r="I64" s="35"/>
      <c r="J64" s="36"/>
      <c r="K64" s="33"/>
      <c r="L64" s="33"/>
      <c r="M64" s="33"/>
      <c r="N64" s="37"/>
      <c r="O64" s="33"/>
      <c r="P64" s="33"/>
      <c r="Q64" s="38"/>
      <c r="R64" s="39"/>
      <c r="S64" s="40"/>
      <c r="T64" s="40"/>
      <c r="U64" s="33"/>
      <c r="V64" s="41"/>
      <c r="W64" s="33"/>
      <c r="X64" s="33"/>
      <c r="Y64" s="33"/>
      <c r="Z64" s="33"/>
      <c r="AA64" s="33"/>
      <c r="AB64" s="33"/>
      <c r="AD64" s="50"/>
    </row>
    <row r="65" spans="1:30" ht="30" customHeight="1">
      <c r="A65" s="33"/>
      <c r="B65" s="33"/>
      <c r="C65" s="33"/>
      <c r="D65" s="33"/>
      <c r="E65" s="33"/>
      <c r="F65" s="33"/>
      <c r="G65" s="33"/>
      <c r="H65" s="34"/>
      <c r="I65" s="35"/>
      <c r="J65" s="36"/>
      <c r="K65" s="33"/>
      <c r="L65" s="33"/>
      <c r="M65" s="33"/>
      <c r="N65" s="37"/>
      <c r="O65" s="33"/>
      <c r="P65" s="33"/>
      <c r="Q65" s="38"/>
      <c r="R65" s="39"/>
      <c r="S65" s="40"/>
      <c r="T65" s="40"/>
      <c r="U65" s="33"/>
      <c r="V65" s="41"/>
      <c r="W65" s="33"/>
      <c r="X65" s="33"/>
      <c r="Y65" s="33"/>
      <c r="Z65" s="33"/>
      <c r="AA65" s="33"/>
      <c r="AB65" s="33"/>
      <c r="AD65" s="50"/>
    </row>
    <row r="66" spans="1:30" ht="30" customHeight="1">
      <c r="A66" s="33"/>
      <c r="B66" s="33"/>
      <c r="C66" s="33"/>
      <c r="D66" s="33"/>
      <c r="E66" s="33"/>
      <c r="F66" s="33"/>
      <c r="G66" s="33"/>
      <c r="H66" s="34"/>
      <c r="I66" s="35"/>
      <c r="J66" s="36"/>
      <c r="K66" s="33"/>
      <c r="L66" s="33"/>
      <c r="M66" s="33"/>
      <c r="N66" s="37"/>
      <c r="O66" s="33"/>
      <c r="P66" s="33"/>
      <c r="Q66" s="38"/>
      <c r="R66" s="39"/>
      <c r="S66" s="40"/>
      <c r="T66" s="40"/>
      <c r="U66" s="33"/>
      <c r="V66" s="41"/>
      <c r="W66" s="33"/>
      <c r="X66" s="33"/>
      <c r="Y66" s="33"/>
      <c r="Z66" s="33"/>
      <c r="AA66" s="33"/>
      <c r="AB66" s="33"/>
      <c r="AD66" s="50"/>
    </row>
    <row r="67" spans="1:30" ht="30" customHeight="1">
      <c r="A67" s="33"/>
      <c r="B67" s="33"/>
      <c r="C67" s="33"/>
      <c r="D67" s="33"/>
      <c r="E67" s="33"/>
      <c r="F67" s="33"/>
      <c r="G67" s="33"/>
      <c r="H67" s="34"/>
      <c r="I67" s="35"/>
      <c r="J67" s="36"/>
      <c r="K67" s="33"/>
      <c r="L67" s="33"/>
      <c r="M67" s="33"/>
      <c r="N67" s="37"/>
      <c r="O67" s="33"/>
      <c r="P67" s="33"/>
      <c r="Q67" s="38"/>
      <c r="R67" s="39"/>
      <c r="S67" s="40"/>
      <c r="T67" s="40"/>
      <c r="U67" s="33"/>
      <c r="V67" s="41"/>
      <c r="W67" s="33"/>
      <c r="X67" s="33"/>
      <c r="Y67" s="33"/>
      <c r="Z67" s="33"/>
      <c r="AA67" s="33"/>
      <c r="AB67" s="33"/>
      <c r="AD67" s="50"/>
    </row>
    <row r="68" spans="1:30" ht="30" customHeight="1">
      <c r="A68" s="33"/>
      <c r="B68" s="33"/>
      <c r="C68" s="33"/>
      <c r="D68" s="33"/>
      <c r="E68" s="33"/>
      <c r="F68" s="33"/>
      <c r="G68" s="33"/>
      <c r="H68" s="34"/>
      <c r="I68" s="35"/>
      <c r="J68" s="36"/>
      <c r="K68" s="33"/>
      <c r="L68" s="33"/>
      <c r="M68" s="33"/>
      <c r="N68" s="37"/>
      <c r="O68" s="33"/>
      <c r="P68" s="33"/>
      <c r="Q68" s="38"/>
      <c r="R68" s="39"/>
      <c r="S68" s="40"/>
      <c r="T68" s="40"/>
      <c r="U68" s="33"/>
      <c r="V68" s="41"/>
      <c r="W68" s="33"/>
      <c r="X68" s="33"/>
      <c r="Y68" s="33"/>
      <c r="Z68" s="33"/>
      <c r="AA68" s="33"/>
      <c r="AB68" s="33"/>
      <c r="AD68" s="50"/>
    </row>
    <row r="69" spans="1:30" ht="30" customHeight="1">
      <c r="A69" s="33"/>
      <c r="B69" s="33"/>
      <c r="C69" s="33"/>
      <c r="D69" s="33"/>
      <c r="E69" s="33"/>
      <c r="F69" s="33"/>
      <c r="G69" s="33"/>
      <c r="H69" s="34"/>
      <c r="I69" s="35"/>
      <c r="J69" s="36"/>
      <c r="K69" s="33"/>
      <c r="L69" s="33"/>
      <c r="M69" s="33"/>
      <c r="N69" s="37"/>
      <c r="O69" s="33"/>
      <c r="P69" s="33"/>
      <c r="Q69" s="38"/>
      <c r="R69" s="39"/>
      <c r="S69" s="40"/>
      <c r="T69" s="40"/>
      <c r="U69" s="33"/>
      <c r="V69" s="41"/>
      <c r="W69" s="33"/>
      <c r="X69" s="33"/>
      <c r="Y69" s="33"/>
      <c r="Z69" s="33"/>
      <c r="AA69" s="33"/>
      <c r="AB69" s="33"/>
      <c r="AD69" s="50"/>
    </row>
    <row r="70" spans="1:30" ht="30" customHeight="1">
      <c r="A70" s="33"/>
      <c r="B70" s="33"/>
      <c r="C70" s="33"/>
      <c r="D70" s="33"/>
      <c r="E70" s="33"/>
      <c r="F70" s="33"/>
      <c r="G70" s="33"/>
      <c r="H70" s="34"/>
      <c r="I70" s="35"/>
      <c r="J70" s="36"/>
      <c r="K70" s="33"/>
      <c r="L70" s="33"/>
      <c r="M70" s="33"/>
      <c r="N70" s="37"/>
      <c r="O70" s="33"/>
      <c r="P70" s="33"/>
      <c r="Q70" s="38"/>
      <c r="R70" s="39"/>
      <c r="S70" s="40"/>
      <c r="T70" s="40"/>
      <c r="U70" s="33"/>
      <c r="V70" s="41"/>
      <c r="W70" s="33"/>
      <c r="X70" s="33"/>
      <c r="Y70" s="33"/>
      <c r="Z70" s="33"/>
      <c r="AA70" s="33"/>
      <c r="AB70" s="33"/>
      <c r="AD70" s="50"/>
    </row>
    <row r="71" spans="1:30" ht="30" customHeight="1">
      <c r="A71" s="33"/>
      <c r="B71" s="33"/>
      <c r="C71" s="33"/>
      <c r="D71" s="33"/>
      <c r="E71" s="33"/>
      <c r="F71" s="33"/>
      <c r="G71" s="33"/>
      <c r="H71" s="34"/>
      <c r="I71" s="35"/>
      <c r="J71" s="36"/>
      <c r="K71" s="33"/>
      <c r="L71" s="33"/>
      <c r="M71" s="33"/>
      <c r="N71" s="37"/>
      <c r="O71" s="33"/>
      <c r="P71" s="33"/>
      <c r="Q71" s="38"/>
      <c r="R71" s="39"/>
      <c r="S71" s="40"/>
      <c r="T71" s="40"/>
      <c r="U71" s="33"/>
      <c r="V71" s="41"/>
      <c r="W71" s="33"/>
      <c r="X71" s="33"/>
      <c r="Y71" s="33"/>
      <c r="Z71" s="33"/>
      <c r="AA71" s="33"/>
      <c r="AB71" s="33"/>
      <c r="AD71" s="50"/>
    </row>
    <row r="72" spans="1:30" ht="30" customHeight="1">
      <c r="A72" s="33"/>
      <c r="B72" s="33"/>
      <c r="C72" s="33"/>
      <c r="D72" s="33"/>
      <c r="E72" s="33"/>
      <c r="F72" s="33"/>
      <c r="G72" s="33"/>
      <c r="H72" s="34"/>
      <c r="I72" s="35"/>
      <c r="J72" s="36"/>
      <c r="K72" s="33"/>
      <c r="L72" s="33"/>
      <c r="M72" s="33"/>
      <c r="N72" s="37"/>
      <c r="O72" s="33"/>
      <c r="P72" s="33"/>
      <c r="Q72" s="38"/>
      <c r="R72" s="39"/>
      <c r="S72" s="40"/>
      <c r="T72" s="40"/>
      <c r="U72" s="33"/>
      <c r="V72" s="41"/>
      <c r="W72" s="33"/>
      <c r="X72" s="33"/>
      <c r="Y72" s="33"/>
      <c r="Z72" s="33"/>
      <c r="AA72" s="33"/>
      <c r="AB72" s="33"/>
      <c r="AD72" s="50"/>
    </row>
    <row r="73" spans="1:30" ht="30" customHeight="1">
      <c r="A73" s="33"/>
      <c r="B73" s="33"/>
      <c r="C73" s="33"/>
      <c r="D73" s="33"/>
      <c r="E73" s="33"/>
      <c r="F73" s="33"/>
      <c r="G73" s="33"/>
      <c r="H73" s="34"/>
      <c r="I73" s="35"/>
      <c r="J73" s="36"/>
      <c r="K73" s="33"/>
      <c r="L73" s="33"/>
      <c r="M73" s="33"/>
      <c r="N73" s="37"/>
      <c r="O73" s="33"/>
      <c r="P73" s="33"/>
      <c r="Q73" s="38"/>
      <c r="R73" s="39"/>
      <c r="S73" s="40"/>
      <c r="T73" s="40"/>
      <c r="U73" s="33"/>
      <c r="V73" s="41"/>
      <c r="W73" s="33"/>
      <c r="X73" s="33"/>
      <c r="Y73" s="33"/>
      <c r="Z73" s="33"/>
      <c r="AA73" s="33"/>
      <c r="AB73" s="33"/>
      <c r="AD73" s="50"/>
    </row>
    <row r="74" spans="1:30" ht="30" customHeight="1">
      <c r="A74" s="33"/>
      <c r="B74" s="33"/>
      <c r="C74" s="33"/>
      <c r="D74" s="33"/>
      <c r="E74" s="33"/>
      <c r="F74" s="33"/>
      <c r="G74" s="33"/>
      <c r="H74" s="34"/>
      <c r="I74" s="35"/>
      <c r="J74" s="36"/>
      <c r="K74" s="33"/>
      <c r="L74" s="33"/>
      <c r="M74" s="33"/>
      <c r="N74" s="37"/>
      <c r="O74" s="33"/>
      <c r="P74" s="33"/>
      <c r="Q74" s="38"/>
      <c r="R74" s="39"/>
      <c r="S74" s="40"/>
      <c r="T74" s="40"/>
      <c r="U74" s="33"/>
      <c r="V74" s="41"/>
      <c r="W74" s="33"/>
      <c r="X74" s="33"/>
      <c r="Y74" s="33"/>
      <c r="Z74" s="33"/>
      <c r="AA74" s="33"/>
      <c r="AB74" s="33"/>
      <c r="AD74" s="50"/>
    </row>
    <row r="75" spans="1:30" ht="30" customHeight="1">
      <c r="A75" s="33"/>
      <c r="B75" s="33"/>
      <c r="C75" s="33"/>
      <c r="D75" s="33"/>
      <c r="E75" s="33"/>
      <c r="F75" s="33"/>
      <c r="G75" s="33"/>
      <c r="H75" s="34"/>
      <c r="I75" s="35"/>
      <c r="J75" s="36"/>
      <c r="K75" s="33"/>
      <c r="L75" s="33"/>
      <c r="M75" s="33"/>
      <c r="N75" s="37"/>
      <c r="O75" s="33"/>
      <c r="P75" s="33"/>
      <c r="Q75" s="38"/>
      <c r="R75" s="39"/>
      <c r="S75" s="40"/>
      <c r="T75" s="40"/>
      <c r="U75" s="33"/>
      <c r="V75" s="41"/>
      <c r="W75" s="33"/>
      <c r="X75" s="33"/>
      <c r="Y75" s="33"/>
      <c r="Z75" s="33"/>
      <c r="AA75" s="33"/>
      <c r="AB75" s="33"/>
      <c r="AD75" s="50"/>
    </row>
    <row r="76" spans="1:30" ht="30" customHeight="1">
      <c r="A76" s="33"/>
      <c r="B76" s="33"/>
      <c r="C76" s="33"/>
      <c r="D76" s="33"/>
      <c r="E76" s="33"/>
      <c r="F76" s="33"/>
      <c r="G76" s="33"/>
      <c r="H76" s="34"/>
      <c r="I76" s="35"/>
      <c r="J76" s="36"/>
      <c r="K76" s="33"/>
      <c r="L76" s="33"/>
      <c r="M76" s="33"/>
      <c r="N76" s="37"/>
      <c r="O76" s="33"/>
      <c r="P76" s="33"/>
      <c r="Q76" s="38"/>
      <c r="R76" s="39"/>
      <c r="S76" s="40"/>
      <c r="T76" s="40"/>
      <c r="U76" s="33"/>
      <c r="V76" s="41"/>
      <c r="W76" s="33"/>
      <c r="X76" s="33"/>
      <c r="Y76" s="33"/>
      <c r="Z76" s="33"/>
      <c r="AA76" s="33"/>
      <c r="AB76" s="33"/>
      <c r="AD76" s="50"/>
    </row>
    <row r="77" spans="1:30" ht="30" customHeight="1">
      <c r="A77" s="33"/>
      <c r="B77" s="33"/>
      <c r="C77" s="33"/>
      <c r="D77" s="33"/>
      <c r="E77" s="33"/>
      <c r="F77" s="33"/>
      <c r="G77" s="33"/>
      <c r="H77" s="34"/>
      <c r="I77" s="35"/>
      <c r="J77" s="36"/>
      <c r="K77" s="33"/>
      <c r="L77" s="33"/>
      <c r="M77" s="33"/>
      <c r="N77" s="37"/>
      <c r="O77" s="33"/>
      <c r="P77" s="33"/>
      <c r="Q77" s="38"/>
      <c r="R77" s="39"/>
      <c r="S77" s="40"/>
      <c r="T77" s="40"/>
      <c r="U77" s="33"/>
      <c r="V77" s="41"/>
      <c r="W77" s="33"/>
      <c r="X77" s="33"/>
      <c r="Y77" s="33"/>
      <c r="Z77" s="33"/>
      <c r="AA77" s="33"/>
      <c r="AB77" s="33"/>
      <c r="AD77" s="50"/>
    </row>
    <row r="78" spans="1:30" ht="30" customHeight="1">
      <c r="A78" s="33"/>
      <c r="B78" s="33"/>
      <c r="C78" s="33"/>
      <c r="D78" s="33"/>
      <c r="E78" s="33"/>
      <c r="F78" s="33"/>
      <c r="G78" s="33"/>
      <c r="H78" s="34"/>
      <c r="I78" s="35"/>
      <c r="J78" s="36"/>
      <c r="K78" s="33"/>
      <c r="L78" s="33"/>
      <c r="M78" s="33"/>
      <c r="N78" s="37"/>
      <c r="O78" s="33"/>
      <c r="P78" s="33"/>
      <c r="Q78" s="38"/>
      <c r="R78" s="39"/>
      <c r="S78" s="40"/>
      <c r="T78" s="40"/>
      <c r="U78" s="33"/>
      <c r="V78" s="41"/>
      <c r="W78" s="33"/>
      <c r="X78" s="33"/>
      <c r="Y78" s="33"/>
      <c r="Z78" s="33"/>
      <c r="AA78" s="33"/>
      <c r="AB78" s="33"/>
      <c r="AD78" s="50"/>
    </row>
    <row r="79" spans="1:30" ht="30" customHeight="1">
      <c r="A79" s="33"/>
      <c r="B79" s="33"/>
      <c r="C79" s="33"/>
      <c r="D79" s="33"/>
      <c r="E79" s="33"/>
      <c r="F79" s="33"/>
      <c r="G79" s="33"/>
      <c r="H79" s="34"/>
      <c r="I79" s="35"/>
      <c r="J79" s="36"/>
      <c r="K79" s="33"/>
      <c r="L79" s="33"/>
      <c r="M79" s="33"/>
      <c r="N79" s="37"/>
      <c r="O79" s="33"/>
      <c r="P79" s="33"/>
      <c r="Q79" s="38"/>
      <c r="R79" s="39"/>
      <c r="S79" s="40"/>
      <c r="T79" s="40"/>
      <c r="U79" s="33"/>
      <c r="V79" s="41"/>
      <c r="W79" s="33"/>
      <c r="X79" s="33"/>
      <c r="Y79" s="33"/>
      <c r="Z79" s="33"/>
      <c r="AA79" s="33"/>
      <c r="AB79" s="33"/>
      <c r="AD79" s="50"/>
    </row>
    <row r="80" spans="1:30" ht="30" customHeight="1">
      <c r="A80" s="33"/>
      <c r="B80" s="33"/>
      <c r="C80" s="33"/>
      <c r="D80" s="33"/>
      <c r="E80" s="33"/>
      <c r="F80" s="33"/>
      <c r="G80" s="33"/>
      <c r="H80" s="34"/>
      <c r="I80" s="35"/>
      <c r="J80" s="36"/>
      <c r="K80" s="33"/>
      <c r="L80" s="33"/>
      <c r="M80" s="33"/>
      <c r="N80" s="37"/>
      <c r="O80" s="33"/>
      <c r="P80" s="33"/>
      <c r="Q80" s="38"/>
      <c r="R80" s="39"/>
      <c r="S80" s="40"/>
      <c r="T80" s="40"/>
      <c r="U80" s="33"/>
      <c r="V80" s="41"/>
      <c r="W80" s="33"/>
      <c r="X80" s="33"/>
      <c r="Y80" s="33"/>
      <c r="Z80" s="33"/>
      <c r="AA80" s="33"/>
      <c r="AB80" s="33"/>
      <c r="AD80" s="50"/>
    </row>
    <row r="81" spans="1:30" ht="30" customHeight="1">
      <c r="A81" s="33"/>
      <c r="B81" s="33"/>
      <c r="C81" s="33"/>
      <c r="D81" s="33"/>
      <c r="E81" s="33"/>
      <c r="F81" s="33"/>
      <c r="G81" s="33"/>
      <c r="H81" s="34"/>
      <c r="I81" s="35"/>
      <c r="J81" s="36"/>
      <c r="K81" s="33"/>
      <c r="L81" s="33"/>
      <c r="M81" s="33"/>
      <c r="N81" s="37"/>
      <c r="O81" s="33"/>
      <c r="P81" s="33"/>
      <c r="Q81" s="38"/>
      <c r="R81" s="39"/>
      <c r="S81" s="40"/>
      <c r="T81" s="40"/>
      <c r="U81" s="33"/>
      <c r="V81" s="41"/>
      <c r="W81" s="33"/>
      <c r="X81" s="33"/>
      <c r="Y81" s="33"/>
      <c r="Z81" s="33"/>
      <c r="AA81" s="33"/>
      <c r="AB81" s="33"/>
      <c r="AD81" s="50"/>
    </row>
    <row r="82" spans="1:30" ht="30" customHeight="1">
      <c r="A82" s="33"/>
      <c r="B82" s="33"/>
      <c r="C82" s="33"/>
      <c r="D82" s="33"/>
      <c r="E82" s="33"/>
      <c r="F82" s="33"/>
      <c r="G82" s="33"/>
      <c r="H82" s="34"/>
      <c r="I82" s="35"/>
      <c r="J82" s="36"/>
      <c r="K82" s="33"/>
      <c r="L82" s="33"/>
      <c r="M82" s="33"/>
      <c r="N82" s="37"/>
      <c r="O82" s="33"/>
      <c r="P82" s="33"/>
      <c r="Q82" s="38"/>
      <c r="R82" s="39"/>
      <c r="S82" s="40"/>
      <c r="T82" s="40"/>
      <c r="U82" s="33"/>
      <c r="V82" s="41"/>
      <c r="W82" s="33"/>
      <c r="X82" s="33"/>
      <c r="Y82" s="33"/>
      <c r="Z82" s="33"/>
      <c r="AA82" s="33"/>
      <c r="AB82" s="33"/>
      <c r="AD82" s="50"/>
    </row>
    <row r="83" spans="1:30" ht="30" customHeight="1">
      <c r="A83" s="33"/>
      <c r="B83" s="33"/>
      <c r="C83" s="33"/>
      <c r="D83" s="33"/>
      <c r="E83" s="33"/>
      <c r="F83" s="33"/>
      <c r="G83" s="33"/>
      <c r="H83" s="34"/>
      <c r="I83" s="35"/>
      <c r="J83" s="36"/>
      <c r="K83" s="33"/>
      <c r="L83" s="33"/>
      <c r="M83" s="33"/>
      <c r="N83" s="37"/>
      <c r="O83" s="33"/>
      <c r="P83" s="33"/>
      <c r="Q83" s="38"/>
      <c r="R83" s="39"/>
      <c r="S83" s="40"/>
      <c r="T83" s="40"/>
      <c r="U83" s="33"/>
      <c r="V83" s="41"/>
      <c r="W83" s="33"/>
      <c r="X83" s="33"/>
      <c r="Y83" s="33"/>
      <c r="Z83" s="33"/>
      <c r="AA83" s="33"/>
      <c r="AB83" s="33"/>
      <c r="AD83" s="50"/>
    </row>
    <row r="84" spans="1:30" ht="30" customHeight="1">
      <c r="A84" s="33"/>
      <c r="B84" s="33"/>
      <c r="C84" s="33"/>
      <c r="D84" s="33"/>
      <c r="E84" s="33"/>
      <c r="F84" s="33"/>
      <c r="G84" s="33"/>
      <c r="H84" s="34"/>
      <c r="I84" s="35"/>
      <c r="J84" s="36"/>
      <c r="K84" s="33"/>
      <c r="L84" s="33"/>
      <c r="M84" s="33"/>
      <c r="N84" s="37"/>
      <c r="O84" s="33"/>
      <c r="P84" s="33"/>
      <c r="Q84" s="38"/>
      <c r="R84" s="39"/>
      <c r="S84" s="40"/>
      <c r="T84" s="40"/>
      <c r="U84" s="33"/>
      <c r="V84" s="41"/>
      <c r="W84" s="33"/>
      <c r="X84" s="33"/>
      <c r="Y84" s="33"/>
      <c r="Z84" s="33"/>
      <c r="AA84" s="33"/>
      <c r="AB84" s="33"/>
      <c r="AD84" s="50"/>
    </row>
    <row r="85" spans="1:30" ht="30" customHeight="1">
      <c r="A85" s="33"/>
      <c r="B85" s="33"/>
      <c r="C85" s="33"/>
      <c r="D85" s="33"/>
      <c r="E85" s="33"/>
      <c r="F85" s="33"/>
      <c r="G85" s="33"/>
      <c r="H85" s="34"/>
      <c r="I85" s="35"/>
      <c r="J85" s="36"/>
      <c r="K85" s="33"/>
      <c r="L85" s="33"/>
      <c r="M85" s="33"/>
      <c r="N85" s="37"/>
      <c r="O85" s="33"/>
      <c r="P85" s="33"/>
      <c r="Q85" s="38"/>
      <c r="R85" s="39"/>
      <c r="S85" s="40"/>
      <c r="T85" s="40"/>
      <c r="U85" s="33"/>
      <c r="V85" s="41"/>
      <c r="W85" s="33"/>
      <c r="X85" s="33"/>
      <c r="Y85" s="33"/>
      <c r="Z85" s="33"/>
      <c r="AA85" s="33"/>
      <c r="AB85" s="33"/>
      <c r="AD85" s="50"/>
    </row>
    <row r="86" spans="1:30" ht="30" customHeight="1">
      <c r="A86" s="33"/>
      <c r="B86" s="33"/>
      <c r="C86" s="33"/>
      <c r="D86" s="33"/>
      <c r="E86" s="33"/>
      <c r="F86" s="33"/>
      <c r="G86" s="33"/>
      <c r="H86" s="34"/>
      <c r="I86" s="35"/>
      <c r="J86" s="36"/>
      <c r="K86" s="33"/>
      <c r="L86" s="33"/>
      <c r="M86" s="33"/>
      <c r="N86" s="37"/>
      <c r="O86" s="33"/>
      <c r="P86" s="33"/>
      <c r="Q86" s="38"/>
      <c r="R86" s="39"/>
      <c r="S86" s="40"/>
      <c r="T86" s="40"/>
      <c r="U86" s="33"/>
      <c r="V86" s="41"/>
      <c r="W86" s="33"/>
      <c r="X86" s="33"/>
      <c r="Y86" s="33"/>
      <c r="Z86" s="33"/>
      <c r="AA86" s="33"/>
      <c r="AB86" s="33"/>
      <c r="AD86" s="50"/>
    </row>
    <row r="88" spans="1:30">
      <c r="R88" s="42"/>
    </row>
    <row r="89" spans="1:30" ht="37.5" customHeight="1">
      <c r="H89" s="42" t="s">
        <v>95</v>
      </c>
      <c r="I89" s="42" t="s">
        <v>96</v>
      </c>
      <c r="R89" s="43" t="s">
        <v>97</v>
      </c>
    </row>
    <row r="90" spans="1:30" ht="37.5" customHeight="1">
      <c r="H90" s="44" t="s">
        <v>98</v>
      </c>
      <c r="I90" s="44" t="s">
        <v>87</v>
      </c>
      <c r="R90" s="42" t="s">
        <v>99</v>
      </c>
    </row>
    <row r="91" spans="1:30" ht="37.5" customHeight="1">
      <c r="H91" s="44" t="s">
        <v>88</v>
      </c>
      <c r="I91" s="44" t="s">
        <v>89</v>
      </c>
    </row>
  </sheetData>
  <conditionalFormatting sqref="I2:I86">
    <cfRule type="cellIs" dxfId="7" priority="7" operator="equal">
      <formula>"GI12577"</formula>
    </cfRule>
    <cfRule type="cellIs" dxfId="6" priority="8" operator="equal">
      <formula>"GI12063"</formula>
    </cfRule>
  </conditionalFormatting>
  <conditionalFormatting sqref="R88:R90">
    <cfRule type="cellIs" dxfId="5" priority="5" operator="equal">
      <formula>"GI12577"</formula>
    </cfRule>
    <cfRule type="cellIs" dxfId="4" priority="6" operator="equal">
      <formula>"GI12063"</formula>
    </cfRule>
  </conditionalFormatting>
  <conditionalFormatting sqref="H89:I89">
    <cfRule type="cellIs" dxfId="3" priority="3" operator="equal">
      <formula>"GI12577"</formula>
    </cfRule>
    <cfRule type="cellIs" dxfId="2" priority="4" operator="equal">
      <formula>"GI12063"</formula>
    </cfRule>
  </conditionalFormatting>
  <conditionalFormatting sqref="I90:I91">
    <cfRule type="cellIs" dxfId="1" priority="1" operator="equal">
      <formula>"GI12577"</formula>
    </cfRule>
    <cfRule type="cellIs" dxfId="0" priority="2" operator="equal">
      <formula>"GI12063"</formula>
    </cfRule>
  </conditionalFormatting>
  <conditionalFormatting sqref="J10:J8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N_x00da_MERO xmlns="8b1e6dbe-52cc-4d39-a802-018f8d5a99d5" xsi:nil="true"/>
    <_Flow_SignoffStatus xmlns="8b1e6dbe-52cc-4d39-a802-018f8d5a99d5" xsi:nil="true"/>
    <_ip_UnifiedCompliancePolicyUIAction xmlns="http://schemas.microsoft.com/sharepoint/v3" xsi:nil="true"/>
    <N_x00fa_mero xmlns="8b1e6dbe-52cc-4d39-a802-018f8d5a99d5" xsi:nil="true"/>
    <_ip_UnifiedCompliancePolicyProperties xmlns="http://schemas.microsoft.com/sharepoint/v3" xsi:nil="true"/>
    <lcf76f155ced4ddcb4097134ff3c332f xmlns="8b1e6dbe-52cc-4d39-a802-018f8d5a99d5">
      <Terms xmlns="http://schemas.microsoft.com/office/infopath/2007/PartnerControls"/>
    </lcf76f155ced4ddcb4097134ff3c332f>
    <TaxCatchAll xmlns="0ade118f-5c71-4f62-8f8b-17a8a4f29ab6" xsi:nil="true"/>
    <data xmlns="8b1e6dbe-52cc-4d39-a802-018f8d5a99d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C5DB51FD0746743B3799C99A0843504" ma:contentTypeVersion="26" ma:contentTypeDescription="Crie um novo documento." ma:contentTypeScope="" ma:versionID="453dd56f83a9de141e82d794f7c1b091">
  <xsd:schema xmlns:xsd="http://www.w3.org/2001/XMLSchema" xmlns:xs="http://www.w3.org/2001/XMLSchema" xmlns:p="http://schemas.microsoft.com/office/2006/metadata/properties" xmlns:ns1="http://schemas.microsoft.com/sharepoint/v3" xmlns:ns2="8b1e6dbe-52cc-4d39-a802-018f8d5a99d5" xmlns:ns3="0ade118f-5c71-4f62-8f8b-17a8a4f29ab6" targetNamespace="http://schemas.microsoft.com/office/2006/metadata/properties" ma:root="true" ma:fieldsID="01f7ea178179d5fd176126ecedc73bb6" ns1:_="" ns2:_="" ns3:_="">
    <xsd:import namespace="http://schemas.microsoft.com/sharepoint/v3"/>
    <xsd:import namespace="8b1e6dbe-52cc-4d39-a802-018f8d5a99d5"/>
    <xsd:import namespace="0ade118f-5c71-4f62-8f8b-17a8a4f29a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LengthInSeconds" minOccurs="0"/>
                <xsd:element ref="ns2:_Flow_SignoffStatus" minOccurs="0"/>
                <xsd:element ref="ns2:N_x00da_MERO" minOccurs="0"/>
                <xsd:element ref="ns2:N_x00fa_mero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30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31" nillable="true" ma:displayName="Ação de Interface do Usuário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1e6dbe-52cc-4d39-a802-018f8d5a99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N_x00da_MERO" ma:index="22" nillable="true" ma:displayName="NÚMERO" ma:internalName="N_x00da_MERO">
      <xsd:simpleType>
        <xsd:restriction base="dms:Number"/>
      </xsd:simpleType>
    </xsd:element>
    <xsd:element name="N_x00fa_mero" ma:index="23" nillable="true" ma:displayName="Número" ma:format="Dropdown" ma:internalName="N_x00fa_mero" ma:percentage="FALSE">
      <xsd:simpleType>
        <xsd:restriction base="dms:Number"/>
      </xsd:simpleType>
    </xsd:element>
    <xsd:element name="lcf76f155ced4ddcb4097134ff3c332f" ma:index="25" nillable="true" ma:taxonomy="true" ma:internalName="lcf76f155ced4ddcb4097134ff3c332f" ma:taxonomyFieldName="MediaServiceImageTags" ma:displayName="Marcações de imagem" ma:readOnly="false" ma:fieldId="{5cf76f15-5ced-4ddc-b409-7134ff3c332f}" ma:taxonomyMulti="true" ma:sspId="2bbfa71a-d75e-4d15-90e8-ced09d00e47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data" ma:index="28" nillable="true" ma:displayName="data" ma:format="DateOnly" ma:internalName="data">
      <xsd:simpleType>
        <xsd:restriction base="dms:DateTime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3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de118f-5c71-4f62-8f8b-17a8a4f29ab6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1ec609ae-1352-4a19-97b7-a4b5bcb005d3}" ma:internalName="TaxCatchAll" ma:showField="CatchAllData" ma:web="0ade118f-5c71-4f62-8f8b-17a8a4f29ab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0E7C369-8DBC-4733-90D1-C233B143993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BC83E0-7D17-4E49-BE25-E36E20DE69F1}">
  <ds:schemaRefs>
    <ds:schemaRef ds:uri="http://schemas.microsoft.com/office/2006/metadata/properties"/>
    <ds:schemaRef ds:uri="http://schemas.microsoft.com/office/infopath/2007/PartnerControls"/>
    <ds:schemaRef ds:uri="8b1e6dbe-52cc-4d39-a802-018f8d5a99d5"/>
    <ds:schemaRef ds:uri="http://schemas.microsoft.com/sharepoint/v3"/>
    <ds:schemaRef ds:uri="0ade118f-5c71-4f62-8f8b-17a8a4f29ab6"/>
  </ds:schemaRefs>
</ds:datastoreItem>
</file>

<file path=customXml/itemProps3.xml><?xml version="1.0" encoding="utf-8"?>
<ds:datastoreItem xmlns:ds="http://schemas.openxmlformats.org/officeDocument/2006/customXml" ds:itemID="{0DAA2BB4-2B32-439E-A5E5-E684CBF35D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b1e6dbe-52cc-4d39-a802-018f8d5a99d5"/>
    <ds:schemaRef ds:uri="0ade118f-5c71-4f62-8f8b-17a8a4f29a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1F89BCD-AEEB-46D3-A1A1-D155C43621B3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d1c0902-ed92-4fed-896d-2e7725de02d4}" enabled="1" method="Standard" siteId="{d6b0bbee-7cd9-4d60-bce6-4a67b543e2a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DIAS SELECT</vt:lpstr>
      <vt:lpstr>DIA_SEMANA</vt:lpstr>
      <vt:lpstr>COLABORADORES</vt:lpstr>
      <vt:lpstr>SOLICITAÇÕES</vt:lpstr>
      <vt:lpstr>HORA EXTRA</vt:lpstr>
      <vt:lpstr>Centros de Custo</vt:lpstr>
      <vt:lpstr>Resumo Centro de Custo</vt:lpstr>
      <vt:lpstr>Resumo GATM</vt:lpstr>
      <vt:lpstr>FORMATAÇÃO ORIGINAL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PEREIRA Gabriel (renexter)</dc:creator>
  <cp:keywords/>
  <dc:description/>
  <cp:lastModifiedBy>PEREIRA Gabriel (renexter)</cp:lastModifiedBy>
  <cp:revision/>
  <dcterms:created xsi:type="dcterms:W3CDTF">2015-06-05T18:17:20Z</dcterms:created>
  <dcterms:modified xsi:type="dcterms:W3CDTF">2026-07-09T13:43:31Z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0x010100EC5DB51FD0746743B3799C99A0843504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